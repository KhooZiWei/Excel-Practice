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user\Dropbox\PC\Documents\Excel_Data_Analytics\Practice\"/>
    </mc:Choice>
  </mc:AlternateContent>
  <xr:revisionPtr revIDLastSave="0" documentId="13_ncr:1_{6E56A427-D148-4787-8650-E39F7BD7E93F}" xr6:coauthVersionLast="47" xr6:coauthVersionMax="47" xr10:uidLastSave="{00000000-0000-0000-0000-000000000000}"/>
  <bookViews>
    <workbookView xWindow="28680" yWindow="-120" windowWidth="29040" windowHeight="15720" xr2:uid="{A12EB3AD-568B-4F84-8695-E8F4C6DF2C11}"/>
  </bookViews>
  <sheets>
    <sheet name="Questions" sheetId="3" r:id="rId1"/>
    <sheet name="Employee details - old system" sheetId="1" r:id="rId2"/>
    <sheet name="Solution"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8" i="3" l="1" a="1"/>
  <c r="J8" i="3" s="1"/>
  <c r="J9" i="3" a="1"/>
  <c r="J9" i="3"/>
  <c r="J10" i="3" a="1"/>
  <c r="J10" i="3" s="1"/>
  <c r="J11" i="3" a="1"/>
  <c r="J11" i="3"/>
  <c r="J12" i="3" a="1"/>
  <c r="J12" i="3" s="1"/>
  <c r="J13" i="3" a="1"/>
  <c r="J13" i="3"/>
  <c r="J14" i="3" a="1"/>
  <c r="J14" i="3" s="1"/>
  <c r="J7" i="3" a="1"/>
  <c r="J7" i="3" s="1"/>
  <c r="H8" i="3"/>
  <c r="H9" i="3"/>
  <c r="H10" i="3"/>
  <c r="H11" i="3"/>
  <c r="H12" i="3"/>
  <c r="H13" i="3"/>
  <c r="H14" i="3"/>
  <c r="H7" i="3"/>
  <c r="G8" i="3"/>
  <c r="G9" i="3"/>
  <c r="G10" i="3"/>
  <c r="G11" i="3"/>
  <c r="G12" i="3"/>
  <c r="G13" i="3"/>
  <c r="G14" i="3"/>
  <c r="G7" i="3"/>
  <c r="F7" i="3"/>
  <c r="F8" i="3"/>
  <c r="F9" i="3"/>
  <c r="F10" i="3"/>
  <c r="F11" i="3"/>
  <c r="F12" i="3"/>
  <c r="F13" i="3"/>
  <c r="F14" i="3"/>
  <c r="E8" i="3"/>
  <c r="E9" i="3"/>
  <c r="E10" i="3"/>
  <c r="E11" i="3"/>
  <c r="E12" i="3"/>
  <c r="E13" i="3"/>
  <c r="E14" i="3"/>
  <c r="E7" i="3"/>
  <c r="D7" i="3"/>
  <c r="D8" i="3"/>
  <c r="D9" i="3"/>
  <c r="D10" i="3"/>
  <c r="D11" i="3"/>
  <c r="D12" i="3"/>
  <c r="D13" i="3"/>
  <c r="D14" i="3"/>
  <c r="F3" i="4"/>
  <c r="F4" i="4"/>
  <c r="G2" i="4" l="1"/>
  <c r="J2" i="4" s="1"/>
  <c r="G3" i="4"/>
  <c r="J3" i="4" s="1"/>
  <c r="G4" i="4"/>
  <c r="J4" i="4" s="1"/>
  <c r="G5" i="4"/>
  <c r="J5" i="4" s="1"/>
  <c r="G6" i="4"/>
  <c r="J6" i="4" s="1"/>
  <c r="G7" i="4"/>
  <c r="J7" i="4" s="1"/>
  <c r="G8" i="4"/>
  <c r="J8" i="4" s="1"/>
  <c r="G9" i="4"/>
  <c r="J9" i="4" s="1"/>
  <c r="F5" i="4"/>
  <c r="F6" i="4"/>
  <c r="F7" i="4"/>
  <c r="F8" i="4"/>
  <c r="F9" i="4"/>
  <c r="F2" i="4"/>
  <c r="E3" i="4"/>
  <c r="E4" i="4"/>
  <c r="E5" i="4"/>
  <c r="E6" i="4"/>
  <c r="E7" i="4"/>
  <c r="E8" i="4"/>
  <c r="E9" i="4"/>
  <c r="E2" i="4"/>
  <c r="D3" i="4"/>
  <c r="D4" i="4"/>
  <c r="D5" i="4"/>
  <c r="D6" i="4"/>
  <c r="D7" i="4"/>
  <c r="D8" i="4"/>
  <c r="D9" i="4"/>
  <c r="D2" i="4"/>
  <c r="B118" i="4"/>
  <c r="B101" i="4"/>
  <c r="B14" i="4"/>
  <c r="B90" i="4"/>
  <c r="B60" i="4"/>
  <c r="B37" i="4"/>
  <c r="H8" i="4" l="1"/>
  <c r="H5" i="4"/>
  <c r="H4" i="4"/>
  <c r="H2" i="4"/>
  <c r="H9" i="4"/>
  <c r="H7" i="4"/>
  <c r="H3" i="4"/>
  <c r="H6"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<sst xmlns="http://schemas.openxmlformats.org/spreadsheetml/2006/main" count="161" uniqueCount="122">
  <si>
    <t>You were asked to assist your IT department with migrating information from the old employee system to the new system which was recently implemented.</t>
  </si>
  <si>
    <t xml:space="preserve">As the systems databases are different, some details in the new system are missing, and you're required to complete them, as much as possible. </t>
  </si>
  <si>
    <t>Fill the missing fields in the following worksheet, based on the instructions below:</t>
  </si>
  <si>
    <t>Email</t>
  </si>
  <si>
    <t>Employee ID</t>
  </si>
  <si>
    <t>First Name</t>
  </si>
  <si>
    <t>Last Name</t>
  </si>
  <si>
    <t>City</t>
  </si>
  <si>
    <t>Hire Date</t>
  </si>
  <si>
    <t>Experienced Employee?</t>
  </si>
  <si>
    <t>Payroll</t>
  </si>
  <si>
    <t>Payroll Raise %</t>
  </si>
  <si>
    <t>john.storm@gotrocks.net</t>
  </si>
  <si>
    <t>john.johnson@wahoo.com</t>
  </si>
  <si>
    <t>debby.powers@jeemail.com</t>
  </si>
  <si>
    <t>joe.byethen@whitehouse.gov</t>
  </si>
  <si>
    <t>stephanie.diaz@msm.org</t>
  </si>
  <si>
    <t>donald.gump@wahoo.com</t>
  </si>
  <si>
    <t>sarah.cohen@coldmail.com</t>
  </si>
  <si>
    <t>vladimir.lupin@kremlinmail.com</t>
  </si>
  <si>
    <t>A</t>
  </si>
  <si>
    <t>Extract the First and Last Name of each employee based on the email address, which is in the following format:</t>
  </si>
  <si>
    <t>firstname.lastname@emailprovider.com</t>
  </si>
  <si>
    <t>firstname - Employee's First Name</t>
  </si>
  <si>
    <t>lastname - Employee's Last Name</t>
  </si>
  <si>
    <t>B</t>
  </si>
  <si>
    <t>Retrieve the cities where each employee lives from the old system. In case a certain employee isn't found in the old database, it means that he's a new hire, and therefore the default is London.</t>
  </si>
  <si>
    <t>C</t>
  </si>
  <si>
    <t>Retrieve the hire date of the employees. In case the hire date is missing, it means that the employee was hired on January 5, 2020.</t>
  </si>
  <si>
    <t>D</t>
  </si>
  <si>
    <t>If an employee was hired before 2019, it means he's an experienced employee. Otherwise, return "No experience"</t>
  </si>
  <si>
    <t>E</t>
  </si>
  <si>
    <t>Your company had outstanding financial results in 2020, so the CEO decided to raise the payroll of all the employees in the company, in the following rates:</t>
  </si>
  <si>
    <t>Employees hired in 2020 - 3% Raise</t>
  </si>
  <si>
    <t>Employees hired in 2019 - 5% Raise</t>
  </si>
  <si>
    <t>Employees hired in 2018 or before - 10% Raise</t>
  </si>
  <si>
    <t>Fill the percentages in the "Payroll Raise %" column accordingly.</t>
  </si>
  <si>
    <t>Good Luck!</t>
  </si>
  <si>
    <t>Hire date</t>
  </si>
  <si>
    <t>Manchester</t>
  </si>
  <si>
    <t>Cardiff</t>
  </si>
  <si>
    <t>Birmingham</t>
  </si>
  <si>
    <t>liza.olson@owl.com</t>
  </si>
  <si>
    <t>Liverpool</t>
  </si>
  <si>
    <t>London</t>
  </si>
  <si>
    <t>Bristol</t>
  </si>
  <si>
    <t>barrack.ohara@jeemail.com</t>
  </si>
  <si>
    <t>Belfast</t>
  </si>
  <si>
    <t>Cambridge</t>
  </si>
  <si>
    <t xml:space="preserve">For our example, we'll see how we solved the question for John Storm - the first row in the table. </t>
  </si>
  <si>
    <t xml:space="preserve">To extract the first and last name, we can use the Left, Find &amp; Mid functions. </t>
  </si>
  <si>
    <t>Let's start with the first name:</t>
  </si>
  <si>
    <t>LEFT Syntax:</t>
  </si>
  <si>
    <t>=LEFT("text",num_chars)</t>
  </si>
  <si>
    <r>
      <t xml:space="preserve">We use the </t>
    </r>
    <r>
      <rPr>
        <b/>
        <sz val="11"/>
        <color theme="1"/>
        <rFont val="Calibri"/>
        <family val="2"/>
        <scheme val="minor"/>
      </rPr>
      <t>LEFT</t>
    </r>
    <r>
      <rPr>
        <sz val="11"/>
        <color theme="1"/>
        <rFont val="Calibri"/>
        <family val="2"/>
        <charset val="177"/>
        <scheme val="minor"/>
      </rPr>
      <t xml:space="preserve"> function to extract the first characters from the text.</t>
    </r>
  </si>
  <si>
    <t xml:space="preserve">How many characters exactly? This will be determined within the num_chars argument. </t>
  </si>
  <si>
    <t>As we know that the first name ends when the dot (.) appears, we can ask Excel to find the position of that dot and the number of characters will be the position minus 1 (as the dot itself is irrelevant)</t>
  </si>
  <si>
    <r>
      <rPr>
        <sz val="11"/>
        <color theme="1"/>
        <rFont val="Calibri"/>
        <family val="2"/>
        <scheme val="minor"/>
      </rPr>
      <t xml:space="preserve">We will use the </t>
    </r>
    <r>
      <rPr>
        <b/>
        <sz val="11"/>
        <color theme="1"/>
        <rFont val="Calibri"/>
        <family val="2"/>
        <scheme val="minor"/>
      </rPr>
      <t>FIND</t>
    </r>
    <r>
      <rPr>
        <sz val="11"/>
        <color theme="1"/>
        <rFont val="Calibri"/>
        <family val="2"/>
        <scheme val="minor"/>
      </rPr>
      <t xml:space="preserve"> function for that.</t>
    </r>
  </si>
  <si>
    <t>Find Syntax:</t>
  </si>
  <si>
    <t>=FIND(find_text,within_text,[start_num])</t>
  </si>
  <si>
    <t xml:space="preserve">find_text </t>
  </si>
  <si>
    <t>What we are looking for? In our example - the dot (.) sign</t>
  </si>
  <si>
    <t>within_text</t>
  </si>
  <si>
    <t xml:space="preserve">Where are we looking for it? In our example - Cell B2 which contains John Storm's email address. </t>
  </si>
  <si>
    <t>[start_num]</t>
  </si>
  <si>
    <t xml:space="preserve">This is an optional argument, which is not required here as we are looking to start the search from the start of the cell. </t>
  </si>
  <si>
    <t xml:space="preserve">After we found the location of the dot (.) using FIND, we will subtract 1 (minus 1), because we don't want to extract the dot - we want to stop one character before it. </t>
  </si>
  <si>
    <r>
      <rPr>
        <b/>
        <sz val="11"/>
        <color theme="1"/>
        <rFont val="Calibri"/>
        <family val="2"/>
        <scheme val="minor"/>
      </rPr>
      <t xml:space="preserve">BONUS - </t>
    </r>
    <r>
      <rPr>
        <sz val="11"/>
        <color theme="1"/>
        <rFont val="Calibri"/>
        <family val="2"/>
        <charset val="177"/>
        <scheme val="minor"/>
      </rPr>
      <t xml:space="preserve">we can use the </t>
    </r>
    <r>
      <rPr>
        <b/>
        <sz val="11"/>
        <color theme="1"/>
        <rFont val="Calibri"/>
        <family val="2"/>
        <scheme val="minor"/>
      </rPr>
      <t xml:space="preserve">PROPER </t>
    </r>
    <r>
      <rPr>
        <sz val="11"/>
        <color theme="1"/>
        <rFont val="Calibri"/>
        <family val="2"/>
        <scheme val="minor"/>
      </rPr>
      <t xml:space="preserve">function to </t>
    </r>
    <r>
      <rPr>
        <sz val="11"/>
        <color theme="1"/>
        <rFont val="Calibri"/>
        <family val="2"/>
        <charset val="177"/>
        <scheme val="minor"/>
      </rPr>
      <t xml:space="preserve">capitalize the first letter of the name. </t>
    </r>
  </si>
  <si>
    <t>Now, let's see how to extract the last name:</t>
  </si>
  <si>
    <t>This one is a bit trickier :)</t>
  </si>
  <si>
    <r>
      <t xml:space="preserve">First, to extract the characters from the middle of a cell, we can use the </t>
    </r>
    <r>
      <rPr>
        <b/>
        <sz val="11"/>
        <color theme="1"/>
        <rFont val="Calibri"/>
        <family val="2"/>
        <scheme val="minor"/>
      </rPr>
      <t>MID</t>
    </r>
    <r>
      <rPr>
        <sz val="11"/>
        <color theme="1"/>
        <rFont val="Calibri"/>
        <family val="2"/>
        <scheme val="minor"/>
      </rPr>
      <t xml:space="preserve"> formula.</t>
    </r>
  </si>
  <si>
    <t>The MID formula syntax is as follows:</t>
  </si>
  <si>
    <t>=MID(text, start_num, num_chars)</t>
  </si>
  <si>
    <t>text - From which text we want to extract the characters?</t>
  </si>
  <si>
    <t>start_num - What is the position of the first character to be extracted?</t>
  </si>
  <si>
    <t>num_chars - Starting from the position noted in start_num, how many characters to extract?</t>
  </si>
  <si>
    <r>
      <t xml:space="preserve">start_num - </t>
    </r>
    <r>
      <rPr>
        <b/>
        <sz val="11"/>
        <color theme="1"/>
        <rFont val="Calibri"/>
        <family val="2"/>
        <scheme val="minor"/>
      </rPr>
      <t>FIND(".",B2)+1</t>
    </r>
  </si>
  <si>
    <t xml:space="preserve">We know that the last name starts after the dot. So we'll use the FIND formula to find the position of the dot. </t>
  </si>
  <si>
    <t>We will add + 1, as we do not want to extract the dot itself, but only what comes afterwards.</t>
  </si>
  <si>
    <r>
      <t xml:space="preserve">num_chars - </t>
    </r>
    <r>
      <rPr>
        <b/>
        <sz val="11"/>
        <color theme="1"/>
        <rFont val="Calibri"/>
        <family val="2"/>
        <scheme val="minor"/>
      </rPr>
      <t>FIND("@",B2)-FIND(".",B2)-1</t>
    </r>
  </si>
  <si>
    <t xml:space="preserve">We will try to calculate the length of the last name by first finding where it ends - it ends with the @ sign. Then we find where it starts - we know it's the dot sign. </t>
  </si>
  <si>
    <t>So we'll subtract the numbers, and the result is the length of the last name (and we add minus 1 to not include the @ itself…)</t>
  </si>
  <si>
    <t xml:space="preserve">The Proper in the end is used to capitalize the first letter of each last name. </t>
  </si>
  <si>
    <t xml:space="preserve">For this question, we will use VLOOKUP &amp; IFERROR functions. </t>
  </si>
  <si>
    <t>Let's look at the first result:</t>
  </si>
  <si>
    <t xml:space="preserve">The first formula we have to understand here is the VLOOKUP formula. </t>
  </si>
  <si>
    <t xml:space="preserve">This formula lets us retrieve information from another range. </t>
  </si>
  <si>
    <t>VLOOKUP Syntax is as follows:</t>
  </si>
  <si>
    <t>=VLOOKUP(lookup_value,table_array,col_index_num, [range_lookup])</t>
  </si>
  <si>
    <t>value - What we are looking for. In our example - Cell B2 - The email address, which appears in both tables.</t>
  </si>
  <si>
    <t>table_array - Where are we looking for the result? This table will include the column with the email addresses as first column. The $ signs are used for absolute reference, to allow us to reuse the formula in the cells below.</t>
  </si>
  <si>
    <t xml:space="preserve">col_index_num - After we found our match - From which column will we retrieve the corresponding result? In our example - The 3rd column in the selected table contains the city, so we'll type 3. </t>
  </si>
  <si>
    <t xml:space="preserve">range_lookup - We will use 0 for exact match in 99.9% of the cases. </t>
  </si>
  <si>
    <t>Now, VLOOKUP formula is contained inside an IFERROR formula. The purpose of the IFERROR formula is to make Excel return a custom message in case there is an error in the VLOOKUP formula.</t>
  </si>
  <si>
    <t xml:space="preserve">When can we expect an error in a VLOOKUP formula? Well, for example, if we do not find a match for our lookup - we will get an #N/A error. </t>
  </si>
  <si>
    <t>The IFERROR Syntax is as follows:</t>
  </si>
  <si>
    <t>=IFERROR(value, value_if_error)</t>
  </si>
  <si>
    <t>value - The original formula/expression.</t>
  </si>
  <si>
    <t xml:space="preserve">value_if_error - The value to be returned if the original formula or expression results in an error. </t>
  </si>
  <si>
    <t xml:space="preserve">If we look in the first example, the result returned is London. </t>
  </si>
  <si>
    <t>Next, let's check if the email address john.storm@gotrocks.net exists in the old system - It doesn't!</t>
  </si>
  <si>
    <t>Therefore, VLOOKUP will result in an #N/A error, thus causing IFERROR to return the value_if_error - "London"!</t>
  </si>
  <si>
    <t xml:space="preserve">If we look at another example, such as debby.powers@jeemail.com - The email is found, and the city Cardiff is returned. </t>
  </si>
  <si>
    <t xml:space="preserve">This example is similar to the previous question. We retrieve the date using the email address, and if the email address is not found, we return the date January 5, 2021. </t>
  </si>
  <si>
    <r>
      <t xml:space="preserve">The way we chose to represent the date is by using the </t>
    </r>
    <r>
      <rPr>
        <b/>
        <sz val="11"/>
        <color theme="1"/>
        <rFont val="Calibri"/>
        <family val="2"/>
        <scheme val="minor"/>
      </rPr>
      <t>DATE</t>
    </r>
    <r>
      <rPr>
        <sz val="11"/>
        <color theme="1"/>
        <rFont val="Calibri"/>
        <family val="2"/>
        <scheme val="minor"/>
      </rPr>
      <t xml:space="preserve"> formula. </t>
    </r>
  </si>
  <si>
    <t>The DATE formula syntax is as follows:</t>
  </si>
  <si>
    <t>=DATE(year, month, day)</t>
  </si>
  <si>
    <t xml:space="preserve">As date formats differ in different areas, the DATE formula is a good method to avoid inconsistencies in the data. </t>
  </si>
  <si>
    <r>
      <t xml:space="preserve">In this example, will use the </t>
    </r>
    <r>
      <rPr>
        <b/>
        <sz val="11"/>
        <color theme="1"/>
        <rFont val="Calibri"/>
        <family val="2"/>
        <scheme val="minor"/>
      </rPr>
      <t>IF</t>
    </r>
    <r>
      <rPr>
        <sz val="11"/>
        <color theme="1"/>
        <rFont val="Calibri"/>
        <family val="2"/>
        <charset val="177"/>
        <scheme val="minor"/>
      </rPr>
      <t xml:space="preserve"> formula to check if a condition is met. </t>
    </r>
  </si>
  <si>
    <t>The IF syntax is as follows:</t>
  </si>
  <si>
    <t>=IF(logical_test,  value_if_true, value_if_false)</t>
  </si>
  <si>
    <r>
      <t xml:space="preserve">logical_test - Check whether the year is before 2019. To do so, we'll extract the year from the date. We can use the </t>
    </r>
    <r>
      <rPr>
        <b/>
        <sz val="11"/>
        <color theme="1"/>
        <rFont val="Calibri"/>
        <family val="2"/>
        <scheme val="minor"/>
      </rPr>
      <t>YEAR</t>
    </r>
    <r>
      <rPr>
        <sz val="11"/>
        <color theme="1"/>
        <rFont val="Calibri"/>
        <family val="2"/>
        <charset val="177"/>
        <scheme val="minor"/>
      </rPr>
      <t xml:space="preserve"> formula to extract the year from the date!</t>
    </r>
  </si>
  <si>
    <t xml:space="preserve">value_if_true - What should we return if the condition is met. If the employee started before 2019, we'll return "Experienced" </t>
  </si>
  <si>
    <t>value_if_false - What should we return if the condition is not met. In our case, if the employee didn't start before 2019, then we'll return "No Experience"</t>
  </si>
  <si>
    <r>
      <t xml:space="preserve">In this example, we will use a combination of IF functions - </t>
    </r>
    <r>
      <rPr>
        <b/>
        <sz val="11"/>
        <color theme="1"/>
        <rFont val="Calibri"/>
        <family val="2"/>
        <scheme val="minor"/>
      </rPr>
      <t>Nested IF</t>
    </r>
    <r>
      <rPr>
        <sz val="11"/>
        <color theme="1"/>
        <rFont val="Calibri"/>
        <family val="2"/>
        <charset val="177"/>
        <scheme val="minor"/>
      </rPr>
      <t>:</t>
    </r>
  </si>
  <si>
    <t xml:space="preserve">Nested IF is basically an IF function within another IF function. We will use NESTED IF when we want to check a couple of conditions/ranges, such as years, wages, etc. </t>
  </si>
  <si>
    <r>
      <t xml:space="preserve">First, we'll check if the employee started before or during 2018, by using the </t>
    </r>
    <r>
      <rPr>
        <b/>
        <sz val="16"/>
        <color theme="1"/>
        <rFont val="Calibri"/>
        <family val="2"/>
        <scheme val="minor"/>
      </rPr>
      <t>&lt;=</t>
    </r>
    <r>
      <rPr>
        <sz val="11"/>
        <color theme="1"/>
        <rFont val="Calibri"/>
        <family val="2"/>
        <scheme val="minor"/>
      </rPr>
      <t xml:space="preserve"> operator (Greater or Equal)</t>
    </r>
  </si>
  <si>
    <t xml:space="preserve">If it is true, then we'll return 10% Payroll Raise. </t>
  </si>
  <si>
    <t>Now, we can use the value_if_false, to check the rest of the options, by using another IF formula, that will:</t>
  </si>
  <si>
    <t xml:space="preserve">Return 5% if the year is 2019, and if not - Will return 3%. </t>
  </si>
  <si>
    <t xml:space="preserve">As we checked in the first IF formula whether the year is 2018 or earlier, and as we found out in the second IF that the year is not 2019, we understand that year has to be 2020 or later. </t>
  </si>
  <si>
    <t xml:space="preserve">As our first employee was hired during 2020, he's eligible to 3% raise.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</si>
</sst>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809]* #,##0_-;\-[$£-809]* #,##0_-;_-[$£-809]* &quot;-&quot;??_-;_-@_-"/>
    <numFmt numFmtId="165" formatCode="_ [$₪-40D]\ * #,##0.00_ ;_ [$₪-40D]\ * \-#,##0.00_ ;_ [$₪-40D]\ * &quot;-&quot;??_ ;_ @_ "/>
  </numFmts>
  <fonts count="8" x14ac:knownFonts="1">
    <font>
      <sz val="11"/>
      <color theme="1"/>
      <name val="Calibri"/>
      <family val="2"/>
      <charset val="177"/>
      <scheme val="minor"/>
    </font>
    <font>
      <sz val="11"/>
      <color theme="1"/>
      <name val="Calibri"/>
      <family val="2"/>
      <scheme val="minor"/>
    </font>
    <font>
      <sz val="11"/>
      <color theme="1"/>
      <name val="Calibri"/>
      <family val="2"/>
      <charset val="177"/>
      <scheme val="minor"/>
    </font>
    <font>
      <u/>
      <sz val="11"/>
      <color theme="10"/>
      <name val="Calibri"/>
      <family val="2"/>
      <charset val="177"/>
      <scheme val="minor"/>
    </font>
    <font>
      <b/>
      <sz val="11"/>
      <color theme="1"/>
      <name val="Calibri"/>
      <family val="2"/>
      <scheme val="minor"/>
    </font>
    <font>
      <sz val="11"/>
      <color theme="1"/>
      <name val="Calibri"/>
      <family val="2"/>
      <scheme val="minor"/>
    </font>
    <font>
      <b/>
      <sz val="16"/>
      <color theme="1"/>
      <name val="Calibri"/>
      <family val="2"/>
      <scheme val="minor"/>
    </font>
    <font>
      <u/>
      <sz val="11"/>
      <color theme="1"/>
      <name val="Calibri"/>
      <family val="2"/>
      <charset val="177"/>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9" fontId="2" fillId="0" borderId="0" applyFont="0" applyFill="0" applyBorder="0" applyAlignment="0" applyProtection="0"/>
    <xf numFmtId="0" fontId="3" fillId="0" borderId="0" applyNumberFormat="0" applyFill="0" applyBorder="0" applyAlignment="0" applyProtection="0"/>
  </cellStyleXfs>
  <cellXfs count="24">
    <xf numFmtId="0" fontId="0" fillId="0" borderId="0" xfId="0"/>
    <xf numFmtId="0" fontId="3" fillId="0" borderId="0" xfId="2"/>
    <xf numFmtId="0" fontId="0" fillId="0" borderId="1" xfId="0" applyBorder="1"/>
    <xf numFmtId="0" fontId="3" fillId="0" borderId="1" xfId="2" applyBorder="1"/>
    <xf numFmtId="0" fontId="0" fillId="2" borderId="1" xfId="0" applyFill="1" applyBorder="1"/>
    <xf numFmtId="0" fontId="4" fillId="0" borderId="1" xfId="0" applyFont="1" applyBorder="1"/>
    <xf numFmtId="0" fontId="4" fillId="0" borderId="2" xfId="0" applyFont="1" applyFill="1" applyBorder="1"/>
    <xf numFmtId="164" fontId="0" fillId="0" borderId="1" xfId="0" applyNumberFormat="1" applyFill="1" applyBorder="1"/>
    <xf numFmtId="14" fontId="0" fillId="2" borderId="1" xfId="0" applyNumberFormat="1" applyFill="1" applyBorder="1"/>
    <xf numFmtId="0" fontId="4" fillId="0" borderId="1" xfId="0" applyFont="1" applyFill="1" applyBorder="1"/>
    <xf numFmtId="164" fontId="0" fillId="0" borderId="0" xfId="0" applyNumberFormat="1" applyFill="1" applyBorder="1"/>
    <xf numFmtId="0" fontId="0" fillId="0" borderId="0" xfId="0" applyFill="1"/>
    <xf numFmtId="0" fontId="3" fillId="0" borderId="0" xfId="2" applyFill="1" applyBorder="1"/>
    <xf numFmtId="0" fontId="0" fillId="0" borderId="0" xfId="0" applyFill="1" applyBorder="1"/>
    <xf numFmtId="9" fontId="0" fillId="0" borderId="0" xfId="1" applyFont="1" applyFill="1" applyBorder="1"/>
    <xf numFmtId="0" fontId="4" fillId="0" borderId="0" xfId="0" applyFont="1"/>
    <xf numFmtId="0" fontId="4" fillId="0" borderId="0" xfId="0" quotePrefix="1" applyFont="1"/>
    <xf numFmtId="0" fontId="5" fillId="0" borderId="0" xfId="0" applyFont="1"/>
    <xf numFmtId="14" fontId="0" fillId="0" borderId="1" xfId="0" applyNumberFormat="1" applyBorder="1"/>
    <xf numFmtId="0" fontId="7" fillId="0" borderId="0" xfId="0" applyFont="1"/>
    <xf numFmtId="165" fontId="0" fillId="0" borderId="0" xfId="0" applyNumberFormat="1"/>
    <xf numFmtId="0" fontId="0" fillId="2" borderId="1" xfId="0" applyFill="1" applyBorder="1" applyProtection="1">
      <protection locked="0"/>
    </xf>
    <xf numFmtId="9" fontId="0" fillId="2" borderId="1" xfId="1" applyFont="1" applyFill="1" applyBorder="1" applyProtection="1">
      <protection locked="0"/>
    </xf>
    <xf numFmtId="14" fontId="0" fillId="2" borderId="1" xfId="0" applyNumberFormat="1" applyFill="1" applyBorder="1" applyProtection="1">
      <protection locked="0"/>
    </xf>
  </cellXfs>
  <cellStyles count="3">
    <cellStyle name="Hyperlink" xfId="2" builtinId="8"/>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debby.powers@jeemail.com" TargetMode="External"/><Relationship Id="rId3" Type="http://schemas.openxmlformats.org/officeDocument/2006/relationships/hyperlink" Target="mailto:vladimir.lupin@kremlinmail.com" TargetMode="External"/><Relationship Id="rId7" Type="http://schemas.openxmlformats.org/officeDocument/2006/relationships/hyperlink" Target="mailto:sarah.cohen@coldmail.com" TargetMode="External"/><Relationship Id="rId2" Type="http://schemas.openxmlformats.org/officeDocument/2006/relationships/hyperlink" Target="mailto:john.storm@gotrocks.net" TargetMode="External"/><Relationship Id="rId1" Type="http://schemas.openxmlformats.org/officeDocument/2006/relationships/hyperlink" Target="mailto:firstname.lastname@emailprovider.com" TargetMode="External"/><Relationship Id="rId6" Type="http://schemas.openxmlformats.org/officeDocument/2006/relationships/hyperlink" Target="mailto:stephanie.diaz@msm.org" TargetMode="External"/><Relationship Id="rId5" Type="http://schemas.openxmlformats.org/officeDocument/2006/relationships/hyperlink" Target="mailto:donald.gump@wahoo.com" TargetMode="External"/><Relationship Id="rId4" Type="http://schemas.openxmlformats.org/officeDocument/2006/relationships/hyperlink" Target="mailto:joe.byethen@whitehouse.gov" TargetMode="External"/><Relationship Id="rId9" Type="http://schemas.openxmlformats.org/officeDocument/2006/relationships/hyperlink" Target="mailto:john.johnson@wahoo.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barrack.ohara@jeemail.com" TargetMode="External"/><Relationship Id="rId3" Type="http://schemas.openxmlformats.org/officeDocument/2006/relationships/hyperlink" Target="mailto:sarah.cohen@coldmail.com" TargetMode="External"/><Relationship Id="rId7" Type="http://schemas.openxmlformats.org/officeDocument/2006/relationships/hyperlink" Target="mailto:joe.byethen@whitehouse.gov" TargetMode="External"/><Relationship Id="rId2" Type="http://schemas.openxmlformats.org/officeDocument/2006/relationships/hyperlink" Target="mailto:debby.powers@jeemail.com" TargetMode="External"/><Relationship Id="rId1" Type="http://schemas.openxmlformats.org/officeDocument/2006/relationships/hyperlink" Target="mailto:john.johnson@wahoo.com" TargetMode="External"/><Relationship Id="rId6" Type="http://schemas.openxmlformats.org/officeDocument/2006/relationships/hyperlink" Target="mailto:donald.gump@wahoo.com" TargetMode="External"/><Relationship Id="rId5" Type="http://schemas.openxmlformats.org/officeDocument/2006/relationships/hyperlink" Target="mailto:stephanie.diaz@msm.org" TargetMode="External"/><Relationship Id="rId4" Type="http://schemas.openxmlformats.org/officeDocument/2006/relationships/hyperlink" Target="mailto:liza.olson@owl.com" TargetMode="External"/><Relationship Id="rId9" Type="http://schemas.openxmlformats.org/officeDocument/2006/relationships/hyperlink" Target="mailto:vladimir.lupin@kremlin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john.storm@gotrocks.net" TargetMode="External"/><Relationship Id="rId3" Type="http://schemas.openxmlformats.org/officeDocument/2006/relationships/hyperlink" Target="mailto:sarah.cohen@coldmail.com" TargetMode="External"/><Relationship Id="rId7" Type="http://schemas.openxmlformats.org/officeDocument/2006/relationships/hyperlink" Target="mailto:vladimir.lupin@kremlinmail.com" TargetMode="External"/><Relationship Id="rId2" Type="http://schemas.openxmlformats.org/officeDocument/2006/relationships/hyperlink" Target="mailto:debby.powers@jeemail.com" TargetMode="External"/><Relationship Id="rId1" Type="http://schemas.openxmlformats.org/officeDocument/2006/relationships/hyperlink" Target="mailto:john.johnson@wahoo.com" TargetMode="External"/><Relationship Id="rId6" Type="http://schemas.openxmlformats.org/officeDocument/2006/relationships/hyperlink" Target="mailto:joe.byethen@whitehouse.gov" TargetMode="External"/><Relationship Id="rId5" Type="http://schemas.openxmlformats.org/officeDocument/2006/relationships/hyperlink" Target="mailto:donald.gump@wahoo.com" TargetMode="External"/><Relationship Id="rId4" Type="http://schemas.openxmlformats.org/officeDocument/2006/relationships/hyperlink" Target="mailto:stephanie.diaz@msm.org"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8912-B9A7-4470-A6BE-54B70DC38F25}">
  <dimension ref="A1:J31"/>
  <sheetViews>
    <sheetView tabSelected="1" workbookViewId="0">
      <selection activeCell="F22" sqref="F22"/>
    </sheetView>
  </sheetViews>
  <sheetFormatPr defaultRowHeight="14.5" x14ac:dyDescent="0.35"/>
  <cols>
    <col min="1" max="1" width="2" bestFit="1" customWidth="1"/>
    <col min="2" max="2" width="32.453125" customWidth="1"/>
    <col min="3" max="3" width="12.1796875" bestFit="1" customWidth="1"/>
    <col min="4" max="4" width="10.54296875" bestFit="1" customWidth="1"/>
    <col min="5" max="5" width="10.1796875" bestFit="1" customWidth="1"/>
    <col min="6" max="6" width="13.7265625" customWidth="1"/>
    <col min="7" max="7" width="10.453125" bestFit="1" customWidth="1"/>
    <col min="8" max="8" width="24.54296875" customWidth="1"/>
    <col min="10" max="10" width="13.7265625" customWidth="1"/>
  </cols>
  <sheetData>
    <row r="1" spans="1:10" x14ac:dyDescent="0.35">
      <c r="B1" t="s">
        <v>0</v>
      </c>
    </row>
    <row r="2" spans="1:10" x14ac:dyDescent="0.35">
      <c r="B2" t="s">
        <v>1</v>
      </c>
    </row>
    <row r="4" spans="1:10" x14ac:dyDescent="0.35">
      <c r="B4" t="s">
        <v>2</v>
      </c>
    </row>
    <row r="6" spans="1:10" x14ac:dyDescent="0.35">
      <c r="B6" s="5" t="s">
        <v>3</v>
      </c>
      <c r="C6" s="5" t="s">
        <v>4</v>
      </c>
      <c r="D6" s="5" t="s">
        <v>5</v>
      </c>
      <c r="E6" s="5" t="s">
        <v>6</v>
      </c>
      <c r="F6" s="5" t="s">
        <v>7</v>
      </c>
      <c r="G6" s="5" t="s">
        <v>8</v>
      </c>
      <c r="H6" s="5" t="s">
        <v>9</v>
      </c>
      <c r="I6" s="9" t="s">
        <v>10</v>
      </c>
      <c r="J6" s="9" t="s">
        <v>11</v>
      </c>
    </row>
    <row r="7" spans="1:10" x14ac:dyDescent="0.35">
      <c r="B7" s="3" t="s">
        <v>12</v>
      </c>
      <c r="C7" s="2">
        <v>9345</v>
      </c>
      <c r="D7" s="21" t="str">
        <f>PROPER(LEFT(B7, FIND(".",B7)-1))</f>
        <v>John</v>
      </c>
      <c r="E7" s="21" t="str">
        <f>PROPER(MID(B7, FIND(".",B7)+1,  FIND("@",B7)-FIND(".",B7)-1))</f>
        <v>Storm</v>
      </c>
      <c r="F7" s="21" t="str">
        <f>_xlfn.XLOOKUP(B7,'Employee details - old system'!$A$2:$A$10,'Employee details - old system'!$C$2:$C$10, "London",0)</f>
        <v>London</v>
      </c>
      <c r="G7" s="23">
        <f>_xlfn.XLOOKUP(B7,'Employee details - old system'!$A$2:$A$10,'Employee details - old system'!$B$2:$B$10, DATE(2020,1,5),0)</f>
        <v>43835</v>
      </c>
      <c r="H7" s="21" t="str">
        <f>IF(YEAR(G7) &lt; 2019, "Experienced", "Not Experienced")</f>
        <v>Not Experienced</v>
      </c>
      <c r="I7" s="7">
        <v>10088</v>
      </c>
      <c r="J7" s="22" cm="1">
        <f t="array" ref="J7">_xlfn.IFS(YEAR(G7)=2020,0.03,YEAR(G7)=2019,0.05,YEAR(G7)&lt;=2018,0.1)</f>
        <v>0.03</v>
      </c>
    </row>
    <row r="8" spans="1:10" x14ac:dyDescent="0.35">
      <c r="B8" s="3" t="s">
        <v>13</v>
      </c>
      <c r="C8" s="2">
        <v>6875</v>
      </c>
      <c r="D8" s="21" t="str">
        <f t="shared" ref="D8:D14" si="0">PROPER(LEFT(B8, FIND(".",B8)-1))</f>
        <v>John</v>
      </c>
      <c r="E8" s="21" t="str">
        <f t="shared" ref="E8:E14" si="1">PROPER(MID(B8, FIND(".",B8)+1,  FIND("@",B8)-FIND(".",B8)-1))</f>
        <v>Johnson</v>
      </c>
      <c r="F8" s="21" t="str">
        <f>_xlfn.XLOOKUP(B8,'Employee details - old system'!$A$2:$A$10,'Employee details - old system'!$C$2:$C$10, "London",0)</f>
        <v>Manchester</v>
      </c>
      <c r="G8" s="23">
        <f>_xlfn.XLOOKUP(B8,'Employee details - old system'!$A$2:$A$10,'Employee details - old system'!$B$2:$B$10, DATE(2020,1,5),0)</f>
        <v>43484</v>
      </c>
      <c r="H8" s="21" t="str">
        <f t="shared" ref="H8:H14" si="2">IF(YEAR(G8) &lt; 2019, "Experienced", "Not Experienced")</f>
        <v>Not Experienced</v>
      </c>
      <c r="I8" s="7">
        <v>11176</v>
      </c>
      <c r="J8" s="22" cm="1">
        <f t="array" ref="J8">_xlfn.IFS(YEAR(G8)=2020,0.03,YEAR(G8)=2019,0.05,YEAR(G8)&lt;=2018,0.1)</f>
        <v>0.05</v>
      </c>
    </row>
    <row r="9" spans="1:10" x14ac:dyDescent="0.35">
      <c r="B9" s="3" t="s">
        <v>14</v>
      </c>
      <c r="C9" s="2">
        <v>6431</v>
      </c>
      <c r="D9" s="21" t="str">
        <f t="shared" si="0"/>
        <v>Debby</v>
      </c>
      <c r="E9" s="21" t="str">
        <f t="shared" si="1"/>
        <v>Powers</v>
      </c>
      <c r="F9" s="21" t="str">
        <f>_xlfn.XLOOKUP(B9,'Employee details - old system'!$A$2:$A$10,'Employee details - old system'!$C$2:$C$10, "London",0)</f>
        <v>Cardiff</v>
      </c>
      <c r="G9" s="23">
        <f>_xlfn.XLOOKUP(B9,'Employee details - old system'!$A$2:$A$10,'Employee details - old system'!$B$2:$B$10, DATE(2020,1,5),0)</f>
        <v>43364</v>
      </c>
      <c r="H9" s="21" t="str">
        <f t="shared" si="2"/>
        <v>Experienced</v>
      </c>
      <c r="I9" s="7">
        <v>10546</v>
      </c>
      <c r="J9" s="22" cm="1">
        <f t="array" ref="J9">_xlfn.IFS(YEAR(G9)=2020,0.03,YEAR(G9)=2019,0.05,YEAR(G9)&lt;=2018,0.1)</f>
        <v>0.1</v>
      </c>
    </row>
    <row r="10" spans="1:10" x14ac:dyDescent="0.35">
      <c r="B10" s="3" t="s">
        <v>15</v>
      </c>
      <c r="C10" s="2">
        <v>6076</v>
      </c>
      <c r="D10" s="21" t="str">
        <f t="shared" si="0"/>
        <v>Joe</v>
      </c>
      <c r="E10" s="21" t="str">
        <f t="shared" si="1"/>
        <v>Byethen</v>
      </c>
      <c r="F10" s="21" t="str">
        <f>_xlfn.XLOOKUP(B10,'Employee details - old system'!$A$2:$A$10,'Employee details - old system'!$C$2:$C$10, "London",0)</f>
        <v>Bristol</v>
      </c>
      <c r="G10" s="23">
        <f>_xlfn.XLOOKUP(B10,'Employee details - old system'!$A$2:$A$10,'Employee details - old system'!$B$2:$B$10, DATE(2020,1,5),0)</f>
        <v>43436</v>
      </c>
      <c r="H10" s="21" t="str">
        <f t="shared" si="2"/>
        <v>Experienced</v>
      </c>
      <c r="I10" s="7">
        <v>10004</v>
      </c>
      <c r="J10" s="22" cm="1">
        <f t="array" ref="J10">_xlfn.IFS(YEAR(G10)=2020,0.03,YEAR(G10)=2019,0.05,YEAR(G10)&lt;=2018,0.1)</f>
        <v>0.1</v>
      </c>
    </row>
    <row r="11" spans="1:10" x14ac:dyDescent="0.35">
      <c r="B11" s="3" t="s">
        <v>16</v>
      </c>
      <c r="C11" s="2">
        <v>8198</v>
      </c>
      <c r="D11" s="21" t="str">
        <f t="shared" si="0"/>
        <v>Stephanie</v>
      </c>
      <c r="E11" s="21" t="str">
        <f t="shared" si="1"/>
        <v>Diaz</v>
      </c>
      <c r="F11" s="21" t="str">
        <f>_xlfn.XLOOKUP(B11,'Employee details - old system'!$A$2:$A$10,'Employee details - old system'!$C$2:$C$10, "London",0)</f>
        <v>London</v>
      </c>
      <c r="G11" s="23">
        <f>_xlfn.XLOOKUP(B11,'Employee details - old system'!$A$2:$A$10,'Employee details - old system'!$B$2:$B$10, DATE(2020,1,5),0)</f>
        <v>43410</v>
      </c>
      <c r="H11" s="21" t="str">
        <f t="shared" si="2"/>
        <v>Experienced</v>
      </c>
      <c r="I11" s="7">
        <v>11383</v>
      </c>
      <c r="J11" s="22" cm="1">
        <f t="array" ref="J11">_xlfn.IFS(YEAR(G11)=2020,0.03,YEAR(G11)=2019,0.05,YEAR(G11)&lt;=2018,0.1)</f>
        <v>0.1</v>
      </c>
    </row>
    <row r="12" spans="1:10" x14ac:dyDescent="0.35">
      <c r="B12" s="3" t="s">
        <v>17</v>
      </c>
      <c r="C12" s="2">
        <v>7220</v>
      </c>
      <c r="D12" s="21" t="str">
        <f t="shared" si="0"/>
        <v>Donald</v>
      </c>
      <c r="E12" s="21" t="str">
        <f t="shared" si="1"/>
        <v>Gump</v>
      </c>
      <c r="F12" s="21" t="str">
        <f>_xlfn.XLOOKUP(B12,'Employee details - old system'!$A$2:$A$10,'Employee details - old system'!$C$2:$C$10, "London",0)</f>
        <v>Liverpool</v>
      </c>
      <c r="G12" s="23">
        <f>_xlfn.XLOOKUP(B12,'Employee details - old system'!$A$2:$A$10,'Employee details - old system'!$B$2:$B$10, DATE(2020,1,5),0)</f>
        <v>43068</v>
      </c>
      <c r="H12" s="21" t="str">
        <f t="shared" si="2"/>
        <v>Experienced</v>
      </c>
      <c r="I12" s="7">
        <v>10236</v>
      </c>
      <c r="J12" s="22" cm="1">
        <f t="array" ref="J12">_xlfn.IFS(YEAR(G12)=2020,0.03,YEAR(G12)=2019,0.05,YEAR(G12)&lt;=2018,0.1)</f>
        <v>0.1</v>
      </c>
    </row>
    <row r="13" spans="1:10" x14ac:dyDescent="0.35">
      <c r="B13" s="3" t="s">
        <v>18</v>
      </c>
      <c r="C13" s="2">
        <v>8638</v>
      </c>
      <c r="D13" s="21" t="str">
        <f t="shared" si="0"/>
        <v>Sarah</v>
      </c>
      <c r="E13" s="21" t="str">
        <f t="shared" si="1"/>
        <v>Cohen</v>
      </c>
      <c r="F13" s="21" t="str">
        <f>_xlfn.XLOOKUP(B13,'Employee details - old system'!$A$2:$A$10,'Employee details - old system'!$C$2:$C$10, "London",0)</f>
        <v>Birmingham</v>
      </c>
      <c r="G13" s="23">
        <f>_xlfn.XLOOKUP(B13,'Employee details - old system'!$A$2:$A$10,'Employee details - old system'!$B$2:$B$10, DATE(2020,1,5),0)</f>
        <v>43420</v>
      </c>
      <c r="H13" s="21" t="str">
        <f t="shared" si="2"/>
        <v>Experienced</v>
      </c>
      <c r="I13" s="7">
        <v>10822</v>
      </c>
      <c r="J13" s="22" cm="1">
        <f t="array" ref="J13">_xlfn.IFS(YEAR(G13)=2020,0.03,YEAR(G13)=2019,0.05,YEAR(G13)&lt;=2018,0.1)</f>
        <v>0.1</v>
      </c>
    </row>
    <row r="14" spans="1:10" x14ac:dyDescent="0.35">
      <c r="B14" s="3" t="s">
        <v>19</v>
      </c>
      <c r="C14" s="2">
        <v>8187</v>
      </c>
      <c r="D14" s="21" t="str">
        <f t="shared" si="0"/>
        <v>Vladimir</v>
      </c>
      <c r="E14" s="21" t="str">
        <f t="shared" si="1"/>
        <v>Lupin</v>
      </c>
      <c r="F14" s="21" t="str">
        <f>_xlfn.XLOOKUP(B14,'Employee details - old system'!$A$2:$A$10,'Employee details - old system'!$C$2:$C$10, "London",0)</f>
        <v>Cambridge</v>
      </c>
      <c r="G14" s="23">
        <f>_xlfn.XLOOKUP(B14,'Employee details - old system'!$A$2:$A$10,'Employee details - old system'!$B$2:$B$10, DATE(2020,1,5),0)</f>
        <v>43438</v>
      </c>
      <c r="H14" s="21" t="str">
        <f t="shared" si="2"/>
        <v>Experienced</v>
      </c>
      <c r="I14" s="7">
        <v>11379</v>
      </c>
      <c r="J14" s="22" cm="1">
        <f t="array" ref="J14">_xlfn.IFS(YEAR(G14)=2020,0.03,YEAR(G14)=2019,0.05,YEAR(G14)&lt;=2018,0.1)</f>
        <v>0.1</v>
      </c>
    </row>
    <row r="15" spans="1:10" s="11" customFormat="1" x14ac:dyDescent="0.35">
      <c r="B15" s="12"/>
      <c r="C15" s="13"/>
      <c r="D15" s="13"/>
      <c r="E15" s="13"/>
      <c r="F15" s="13"/>
      <c r="G15" s="13"/>
      <c r="H15" s="13"/>
      <c r="I15" s="10"/>
      <c r="J15" s="14"/>
    </row>
    <row r="16" spans="1:10" x14ac:dyDescent="0.35">
      <c r="A16" t="s">
        <v>20</v>
      </c>
      <c r="B16" t="s">
        <v>21</v>
      </c>
    </row>
    <row r="17" spans="1:2" x14ac:dyDescent="0.35">
      <c r="B17" s="1" t="s">
        <v>22</v>
      </c>
    </row>
    <row r="18" spans="1:2" x14ac:dyDescent="0.35">
      <c r="B18" t="s">
        <v>23</v>
      </c>
    </row>
    <row r="19" spans="1:2" x14ac:dyDescent="0.35">
      <c r="B19" t="s">
        <v>24</v>
      </c>
    </row>
    <row r="21" spans="1:2" x14ac:dyDescent="0.35">
      <c r="A21" t="s">
        <v>25</v>
      </c>
      <c r="B21" t="s">
        <v>26</v>
      </c>
    </row>
    <row r="22" spans="1:2" x14ac:dyDescent="0.35">
      <c r="A22" t="s">
        <v>27</v>
      </c>
      <c r="B22" t="s">
        <v>28</v>
      </c>
    </row>
    <row r="23" spans="1:2" x14ac:dyDescent="0.35">
      <c r="A23" t="s">
        <v>29</v>
      </c>
      <c r="B23" t="s">
        <v>30</v>
      </c>
    </row>
    <row r="24" spans="1:2" x14ac:dyDescent="0.35">
      <c r="A24" t="s">
        <v>31</v>
      </c>
      <c r="B24" t="s">
        <v>32</v>
      </c>
    </row>
    <row r="25" spans="1:2" x14ac:dyDescent="0.35">
      <c r="B25" t="s">
        <v>33</v>
      </c>
    </row>
    <row r="26" spans="1:2" x14ac:dyDescent="0.35">
      <c r="B26" t="s">
        <v>34</v>
      </c>
    </row>
    <row r="27" spans="1:2" x14ac:dyDescent="0.35">
      <c r="B27" t="s">
        <v>35</v>
      </c>
    </row>
    <row r="29" spans="1:2" x14ac:dyDescent="0.35">
      <c r="B29" t="s">
        <v>36</v>
      </c>
    </row>
    <row r="31" spans="1:2" x14ac:dyDescent="0.35">
      <c r="B31" s="15" t="s">
        <v>37</v>
      </c>
    </row>
  </sheetData>
  <hyperlinks>
    <hyperlink ref="B17" r:id="rId1" xr:uid="{FD323034-C419-40AC-859E-C96911DE03EE}"/>
    <hyperlink ref="B7" r:id="rId2" xr:uid="{1B86A1D8-FDB0-4F37-BA17-4D49DCC8D8F0}"/>
    <hyperlink ref="B14" r:id="rId3" xr:uid="{2E9E6109-FD06-431E-8FC1-8F0E6957E8A0}"/>
    <hyperlink ref="B10" r:id="rId4" xr:uid="{037537AC-409D-4CCF-9412-17BA132ECC1A}"/>
    <hyperlink ref="B12" r:id="rId5" xr:uid="{074B2326-AFF6-4336-A0F7-B98DA8853713}"/>
    <hyperlink ref="B11" r:id="rId6" xr:uid="{FB80D161-AE62-4DBF-BCA8-C4BE42FB966B}"/>
    <hyperlink ref="B13" r:id="rId7" xr:uid="{95AC0896-5E8F-401D-A0CE-8053DDCC8E29}"/>
    <hyperlink ref="B9" r:id="rId8" xr:uid="{9F59063E-50AB-4E37-B7F7-4AC3F04392E2}"/>
    <hyperlink ref="B8" r:id="rId9" xr:uid="{1FA906CF-C900-433C-860F-1DAA1BEC606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90868-4102-4E54-A246-9340CF4324A5}">
  <sheetPr>
    <tabColor rgb="FF7030A0"/>
  </sheetPr>
  <dimension ref="A1:C10"/>
  <sheetViews>
    <sheetView workbookViewId="0">
      <selection activeCell="B2" sqref="B2"/>
    </sheetView>
  </sheetViews>
  <sheetFormatPr defaultRowHeight="14.5" x14ac:dyDescent="0.35"/>
  <cols>
    <col min="1" max="1" width="29.453125" bestFit="1" customWidth="1"/>
    <col min="2" max="2" width="10.7265625" bestFit="1" customWidth="1"/>
    <col min="3" max="3" width="11.7265625" bestFit="1" customWidth="1"/>
  </cols>
  <sheetData>
    <row r="1" spans="1:3" x14ac:dyDescent="0.35">
      <c r="A1" s="5" t="s">
        <v>3</v>
      </c>
      <c r="B1" s="5" t="s">
        <v>38</v>
      </c>
      <c r="C1" s="5" t="s">
        <v>7</v>
      </c>
    </row>
    <row r="2" spans="1:3" x14ac:dyDescent="0.35">
      <c r="A2" s="3" t="s">
        <v>13</v>
      </c>
      <c r="B2" s="18">
        <v>43484</v>
      </c>
      <c r="C2" s="2" t="s">
        <v>39</v>
      </c>
    </row>
    <row r="3" spans="1:3" x14ac:dyDescent="0.35">
      <c r="A3" s="3" t="s">
        <v>14</v>
      </c>
      <c r="B3" s="18">
        <v>43364</v>
      </c>
      <c r="C3" s="2" t="s">
        <v>40</v>
      </c>
    </row>
    <row r="4" spans="1:3" x14ac:dyDescent="0.35">
      <c r="A4" s="3" t="s">
        <v>18</v>
      </c>
      <c r="B4" s="18">
        <v>43420</v>
      </c>
      <c r="C4" s="2" t="s">
        <v>41</v>
      </c>
    </row>
    <row r="5" spans="1:3" x14ac:dyDescent="0.35">
      <c r="A5" s="3" t="s">
        <v>42</v>
      </c>
      <c r="B5" s="18">
        <v>43045</v>
      </c>
      <c r="C5" s="2" t="s">
        <v>43</v>
      </c>
    </row>
    <row r="6" spans="1:3" x14ac:dyDescent="0.35">
      <c r="A6" s="3" t="s">
        <v>16</v>
      </c>
      <c r="B6" s="18">
        <v>43410</v>
      </c>
      <c r="C6" s="2" t="s">
        <v>44</v>
      </c>
    </row>
    <row r="7" spans="1:3" x14ac:dyDescent="0.35">
      <c r="A7" s="3" t="s">
        <v>17</v>
      </c>
      <c r="B7" s="18">
        <v>43068</v>
      </c>
      <c r="C7" s="2" t="s">
        <v>43</v>
      </c>
    </row>
    <row r="8" spans="1:3" x14ac:dyDescent="0.35">
      <c r="A8" s="3" t="s">
        <v>15</v>
      </c>
      <c r="B8" s="18">
        <v>43436</v>
      </c>
      <c r="C8" s="2" t="s">
        <v>45</v>
      </c>
    </row>
    <row r="9" spans="1:3" x14ac:dyDescent="0.35">
      <c r="A9" s="3" t="s">
        <v>46</v>
      </c>
      <c r="B9" s="18">
        <v>43354</v>
      </c>
      <c r="C9" s="2" t="s">
        <v>47</v>
      </c>
    </row>
    <row r="10" spans="1:3" x14ac:dyDescent="0.35">
      <c r="A10" s="3" t="s">
        <v>19</v>
      </c>
      <c r="B10" s="18">
        <v>43438</v>
      </c>
      <c r="C10" s="2" t="s">
        <v>48</v>
      </c>
    </row>
  </sheetData>
  <sheetProtection sheet="1" objects="1" scenarios="1"/>
  <hyperlinks>
    <hyperlink ref="A2" r:id="rId1" xr:uid="{00E0233E-E9B9-4811-B94C-F9BB51ADDB60}"/>
    <hyperlink ref="A3" r:id="rId2" xr:uid="{10A53106-F87D-400D-A92C-6BB97EB7CDF1}"/>
    <hyperlink ref="A4" r:id="rId3" xr:uid="{74504FF2-9E1F-441F-89F2-FB399E99B6A4}"/>
    <hyperlink ref="A5" r:id="rId4" xr:uid="{78BBDCDF-2A03-4C81-9629-E3A46509B020}"/>
    <hyperlink ref="A6" r:id="rId5" xr:uid="{D63489AE-ECC9-464A-8B6D-A27EB2BB7077}"/>
    <hyperlink ref="A7" r:id="rId6" xr:uid="{0F5A8F4A-E204-43B6-8875-AC9ADCA1C5E5}"/>
    <hyperlink ref="A8" r:id="rId7" xr:uid="{BF369588-F415-4C19-BD7B-F7D79D449C56}"/>
    <hyperlink ref="A9" r:id="rId8" xr:uid="{4FB43C1B-4F09-4AAA-BE1C-1F2F7CFB36E3}"/>
    <hyperlink ref="A10" r:id="rId9" xr:uid="{9A929070-643C-4629-B274-E68AD5014AF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239AB-C7A1-48B1-9A19-26936B340627}">
  <sheetPr>
    <tabColor rgb="FF92D050"/>
  </sheetPr>
  <dimension ref="A1:J129"/>
  <sheetViews>
    <sheetView workbookViewId="0">
      <selection activeCell="F8" sqref="F8"/>
    </sheetView>
  </sheetViews>
  <sheetFormatPr defaultRowHeight="14.5" x14ac:dyDescent="0.35"/>
  <cols>
    <col min="1" max="1" width="2.26953125" bestFit="1" customWidth="1"/>
    <col min="2" max="2" width="31" bestFit="1" customWidth="1"/>
    <col min="3" max="3" width="12.1796875" bestFit="1" customWidth="1"/>
    <col min="4" max="4" width="10.54296875" bestFit="1" customWidth="1"/>
    <col min="5" max="5" width="10.1796875" bestFit="1" customWidth="1"/>
    <col min="6" max="6" width="15.26953125" customWidth="1"/>
    <col min="7" max="7" width="10.7265625" bestFit="1" customWidth="1"/>
    <col min="8" max="9" width="22.81640625" bestFit="1" customWidth="1"/>
    <col min="10" max="10" width="19.54296875" customWidth="1"/>
    <col min="11" max="11" width="12.453125" customWidth="1"/>
  </cols>
  <sheetData>
    <row r="1" spans="1:10" x14ac:dyDescent="0.35">
      <c r="B1" s="5" t="s">
        <v>3</v>
      </c>
      <c r="C1" s="5" t="s">
        <v>4</v>
      </c>
      <c r="D1" s="5" t="s">
        <v>5</v>
      </c>
      <c r="E1" s="5" t="s">
        <v>6</v>
      </c>
      <c r="F1" s="5" t="s">
        <v>7</v>
      </c>
      <c r="G1" s="5" t="s">
        <v>8</v>
      </c>
      <c r="H1" s="5" t="s">
        <v>9</v>
      </c>
      <c r="I1" s="6" t="s">
        <v>10</v>
      </c>
      <c r="J1" s="6" t="s">
        <v>11</v>
      </c>
    </row>
    <row r="2" spans="1:10" x14ac:dyDescent="0.35">
      <c r="B2" s="3" t="s">
        <v>12</v>
      </c>
      <c r="C2" s="2">
        <v>9345</v>
      </c>
      <c r="D2" s="4" t="str">
        <f>PROPER(LEFT(B2,FIND(".",B2)-1))</f>
        <v>John</v>
      </c>
      <c r="E2" s="4" t="str">
        <f>PROPER(MID(B2,FIND(".",B2)+1,FIND("@",B2)-FIND(".",B2)-1))</f>
        <v>Storm</v>
      </c>
      <c r="F2" s="4" t="str">
        <f>IFERROR(VLOOKUP(B2,'Employee details - old system'!$A$1:$C$10,3,0),"London")</f>
        <v>London</v>
      </c>
      <c r="G2" s="8">
        <f>IFERROR(VLOOKUP(B2,'Employee details - old system'!$A$1:$B$10,2,0),DATE(2020,5,1))</f>
        <v>43952</v>
      </c>
      <c r="H2" s="4" t="str">
        <f>IF(YEAR(G2)&lt;2019,"Experienced","No Experience")</f>
        <v>No Experience</v>
      </c>
      <c r="I2" s="7">
        <v>10088</v>
      </c>
      <c r="J2" s="22">
        <f>IF(YEAR(G2)&lt;=2018,10%,IF(YEAR(G2)=2019,5%,3%))</f>
        <v>0.03</v>
      </c>
    </row>
    <row r="3" spans="1:10" x14ac:dyDescent="0.35">
      <c r="B3" s="3" t="s">
        <v>13</v>
      </c>
      <c r="C3" s="2">
        <v>6875</v>
      </c>
      <c r="D3" s="21" t="str">
        <f t="shared" ref="D3:D9" si="0">PROPER(LEFT(B3,FIND(".",B3)-1))</f>
        <v>John</v>
      </c>
      <c r="E3" s="21" t="str">
        <f t="shared" ref="E3:E9" si="1">PROPER(MID(B3,FIND(".",B3)+1,FIND("@",B3)-FIND(".",B3)-1))</f>
        <v>Johnson</v>
      </c>
      <c r="F3" s="21" t="str">
        <f>IFERROR(VLOOKUP(B3,'Employee details - old system'!$A$1:$C$10,3,0),"London")</f>
        <v>Manchester</v>
      </c>
      <c r="G3" s="23">
        <f>IFERROR(VLOOKUP(B3,'Employee details - old system'!$A$1:$B$10,2,0),"01/05/2020")</f>
        <v>43484</v>
      </c>
      <c r="H3" s="21" t="str">
        <f t="shared" ref="H3:H9" si="2">IF(YEAR(G3)&lt;2019,"Experienced","No Experience")</f>
        <v>No Experience</v>
      </c>
      <c r="I3" s="7">
        <v>11176</v>
      </c>
      <c r="J3" s="22">
        <f t="shared" ref="J3:J9" si="3">IF(YEAR(G3)&lt;=2018,10%,IF(YEAR(G3)=2019,5%,3%))</f>
        <v>0.05</v>
      </c>
    </row>
    <row r="4" spans="1:10" x14ac:dyDescent="0.35">
      <c r="B4" s="3" t="s">
        <v>14</v>
      </c>
      <c r="C4" s="2">
        <v>6431</v>
      </c>
      <c r="D4" s="21" t="str">
        <f t="shared" si="0"/>
        <v>Debby</v>
      </c>
      <c r="E4" s="21" t="str">
        <f t="shared" si="1"/>
        <v>Powers</v>
      </c>
      <c r="F4" s="21" t="str">
        <f>IFERROR(VLOOKUP(B4,'Employee details - old system'!$A$1:$C$10,3,0),"London")</f>
        <v>Cardiff</v>
      </c>
      <c r="G4" s="23">
        <f>IFERROR(VLOOKUP(B4,'Employee details - old system'!$A$1:$B$10,2,0),"01/05/2020")</f>
        <v>43364</v>
      </c>
      <c r="H4" s="21" t="str">
        <f t="shared" si="2"/>
        <v>Experienced</v>
      </c>
      <c r="I4" s="7">
        <v>10546</v>
      </c>
      <c r="J4" s="22">
        <f t="shared" si="3"/>
        <v>0.1</v>
      </c>
    </row>
    <row r="5" spans="1:10" x14ac:dyDescent="0.35">
      <c r="B5" s="3" t="s">
        <v>15</v>
      </c>
      <c r="C5" s="2">
        <v>6076</v>
      </c>
      <c r="D5" s="21" t="str">
        <f t="shared" si="0"/>
        <v>Joe</v>
      </c>
      <c r="E5" s="21" t="str">
        <f t="shared" si="1"/>
        <v>Byethen</v>
      </c>
      <c r="F5" s="21" t="str">
        <f>IFERROR(VLOOKUP(B5,'Employee details - old system'!$A$1:$C$10,3,0),"London")</f>
        <v>Bristol</v>
      </c>
      <c r="G5" s="23">
        <f>IFERROR(VLOOKUP(B5,'Employee details - old system'!$A$1:$B$10,2,0),"01/05/2020")</f>
        <v>43436</v>
      </c>
      <c r="H5" s="21" t="str">
        <f t="shared" si="2"/>
        <v>Experienced</v>
      </c>
      <c r="I5" s="7">
        <v>10004</v>
      </c>
      <c r="J5" s="22">
        <f t="shared" si="3"/>
        <v>0.1</v>
      </c>
    </row>
    <row r="6" spans="1:10" x14ac:dyDescent="0.35">
      <c r="B6" s="3" t="s">
        <v>16</v>
      </c>
      <c r="C6" s="2">
        <v>8198</v>
      </c>
      <c r="D6" s="21" t="str">
        <f t="shared" si="0"/>
        <v>Stephanie</v>
      </c>
      <c r="E6" s="21" t="str">
        <f t="shared" si="1"/>
        <v>Diaz</v>
      </c>
      <c r="F6" s="21" t="str">
        <f>IFERROR(VLOOKUP(B6,'Employee details - old system'!$A$1:$C$10,3,0),"London")</f>
        <v>London</v>
      </c>
      <c r="G6" s="23">
        <f>IFERROR(VLOOKUP(B6,'Employee details - old system'!$A$1:$B$10,2,0),"01/05/2020")</f>
        <v>43410</v>
      </c>
      <c r="H6" s="21" t="str">
        <f t="shared" si="2"/>
        <v>Experienced</v>
      </c>
      <c r="I6" s="7">
        <v>11383</v>
      </c>
      <c r="J6" s="22">
        <f t="shared" si="3"/>
        <v>0.1</v>
      </c>
    </row>
    <row r="7" spans="1:10" x14ac:dyDescent="0.35">
      <c r="B7" s="3" t="s">
        <v>17</v>
      </c>
      <c r="C7" s="2">
        <v>7220</v>
      </c>
      <c r="D7" s="21" t="str">
        <f t="shared" si="0"/>
        <v>Donald</v>
      </c>
      <c r="E7" s="21" t="str">
        <f t="shared" si="1"/>
        <v>Gump</v>
      </c>
      <c r="F7" s="21" t="str">
        <f>IFERROR(VLOOKUP(B7,'Employee details - old system'!$A$1:$C$10,3,0),"London")</f>
        <v>Liverpool</v>
      </c>
      <c r="G7" s="23">
        <f>IFERROR(VLOOKUP(B7,'Employee details - old system'!$A$1:$B$10,2,0),"01/05/2020")</f>
        <v>43068</v>
      </c>
      <c r="H7" s="21" t="str">
        <f t="shared" si="2"/>
        <v>Experienced</v>
      </c>
      <c r="I7" s="7">
        <v>10236</v>
      </c>
      <c r="J7" s="22">
        <f t="shared" si="3"/>
        <v>0.1</v>
      </c>
    </row>
    <row r="8" spans="1:10" x14ac:dyDescent="0.35">
      <c r="B8" s="3" t="s">
        <v>18</v>
      </c>
      <c r="C8" s="2">
        <v>8638</v>
      </c>
      <c r="D8" s="21" t="str">
        <f t="shared" si="0"/>
        <v>Sarah</v>
      </c>
      <c r="E8" s="21" t="str">
        <f t="shared" si="1"/>
        <v>Cohen</v>
      </c>
      <c r="F8" s="21" t="str">
        <f>IFERROR(VLOOKUP(B8,'Employee details - old system'!$A$1:$C$10,3,0),"London")</f>
        <v>Birmingham</v>
      </c>
      <c r="G8" s="23">
        <f>IFERROR(VLOOKUP(B8,'Employee details - old system'!$A$1:$B$10,2,0),"01/05/2020")</f>
        <v>43420</v>
      </c>
      <c r="H8" s="21" t="str">
        <f t="shared" si="2"/>
        <v>Experienced</v>
      </c>
      <c r="I8" s="7">
        <v>10822</v>
      </c>
      <c r="J8" s="22">
        <f t="shared" si="3"/>
        <v>0.1</v>
      </c>
    </row>
    <row r="9" spans="1:10" x14ac:dyDescent="0.35">
      <c r="B9" s="3" t="s">
        <v>19</v>
      </c>
      <c r="C9" s="2">
        <v>8187</v>
      </c>
      <c r="D9" s="21" t="str">
        <f t="shared" si="0"/>
        <v>Vladimir</v>
      </c>
      <c r="E9" s="21" t="str">
        <f t="shared" si="1"/>
        <v>Lupin</v>
      </c>
      <c r="F9" s="21" t="str">
        <f>IFERROR(VLOOKUP(B9,'Employee details - old system'!$A$1:$C$10,3,0),"London")</f>
        <v>Cambridge</v>
      </c>
      <c r="G9" s="23">
        <f>IFERROR(VLOOKUP(B9,'Employee details - old system'!$A$1:$B$10,2,0),"01/05/2020")</f>
        <v>43438</v>
      </c>
      <c r="H9" s="21" t="str">
        <f t="shared" si="2"/>
        <v>Experienced</v>
      </c>
      <c r="I9" s="7">
        <v>11379</v>
      </c>
      <c r="J9" s="22">
        <f t="shared" si="3"/>
        <v>0.1</v>
      </c>
    </row>
    <row r="11" spans="1:10" x14ac:dyDescent="0.35">
      <c r="B11" s="15" t="s">
        <v>49</v>
      </c>
    </row>
    <row r="12" spans="1:10" x14ac:dyDescent="0.35">
      <c r="A12" t="s">
        <v>20</v>
      </c>
      <c r="B12" t="s">
        <v>50</v>
      </c>
    </row>
    <row r="13" spans="1:10" x14ac:dyDescent="0.35">
      <c r="B13" s="19" t="s">
        <v>51</v>
      </c>
    </row>
    <row r="14" spans="1:10" x14ac:dyDescent="0.35">
      <c r="B14" s="15" t="str">
        <f ca="1">_xlfn.FORMULATEXT(D2)</f>
        <v>=PROPER(LEFT(B2,FIND(".",B2)-1))</v>
      </c>
      <c r="I14" s="20"/>
    </row>
    <row r="16" spans="1:10" x14ac:dyDescent="0.35">
      <c r="B16" s="15" t="s">
        <v>52</v>
      </c>
    </row>
    <row r="17" spans="2:3" x14ac:dyDescent="0.35">
      <c r="B17" s="16" t="s">
        <v>53</v>
      </c>
    </row>
    <row r="18" spans="2:3" x14ac:dyDescent="0.35">
      <c r="B18" s="16"/>
    </row>
    <row r="19" spans="2:3" x14ac:dyDescent="0.35">
      <c r="B19" t="s">
        <v>54</v>
      </c>
    </row>
    <row r="20" spans="2:3" x14ac:dyDescent="0.35">
      <c r="B20" t="s">
        <v>55</v>
      </c>
    </row>
    <row r="22" spans="2:3" x14ac:dyDescent="0.35">
      <c r="B22" t="s">
        <v>56</v>
      </c>
    </row>
    <row r="23" spans="2:3" x14ac:dyDescent="0.35">
      <c r="B23" s="17" t="s">
        <v>57</v>
      </c>
    </row>
    <row r="25" spans="2:3" x14ac:dyDescent="0.35">
      <c r="B25" s="15" t="s">
        <v>58</v>
      </c>
    </row>
    <row r="26" spans="2:3" x14ac:dyDescent="0.35">
      <c r="B26" s="16" t="s">
        <v>59</v>
      </c>
    </row>
    <row r="28" spans="2:3" x14ac:dyDescent="0.35">
      <c r="B28" t="s">
        <v>60</v>
      </c>
      <c r="C28" t="s">
        <v>61</v>
      </c>
    </row>
    <row r="29" spans="2:3" x14ac:dyDescent="0.35">
      <c r="B29" t="s">
        <v>62</v>
      </c>
      <c r="C29" t="s">
        <v>63</v>
      </c>
    </row>
    <row r="30" spans="2:3" x14ac:dyDescent="0.35">
      <c r="B30" t="s">
        <v>64</v>
      </c>
      <c r="C30" t="s">
        <v>65</v>
      </c>
    </row>
    <row r="32" spans="2:3" x14ac:dyDescent="0.35">
      <c r="B32" t="s">
        <v>66</v>
      </c>
    </row>
    <row r="34" spans="2:2" x14ac:dyDescent="0.35">
      <c r="B34" s="17" t="s">
        <v>67</v>
      </c>
    </row>
    <row r="36" spans="2:2" x14ac:dyDescent="0.35">
      <c r="B36" s="19" t="s">
        <v>68</v>
      </c>
    </row>
    <row r="37" spans="2:2" x14ac:dyDescent="0.35">
      <c r="B37" s="15" t="str">
        <f ca="1">_xlfn.FORMULATEXT(E2)</f>
        <v>=PROPER(MID(B2,FIND(".",B2)+1,FIND("@",B2)-FIND(".",B2)-1))</v>
      </c>
    </row>
    <row r="38" spans="2:2" x14ac:dyDescent="0.35">
      <c r="B38" s="15"/>
    </row>
    <row r="39" spans="2:2" x14ac:dyDescent="0.35">
      <c r="B39" s="17" t="s">
        <v>69</v>
      </c>
    </row>
    <row r="40" spans="2:2" x14ac:dyDescent="0.35">
      <c r="B40" s="17" t="s">
        <v>70</v>
      </c>
    </row>
    <row r="41" spans="2:2" x14ac:dyDescent="0.35">
      <c r="B41" s="15" t="s">
        <v>71</v>
      </c>
    </row>
    <row r="42" spans="2:2" x14ac:dyDescent="0.35">
      <c r="B42" s="16" t="s">
        <v>72</v>
      </c>
    </row>
    <row r="43" spans="2:2" x14ac:dyDescent="0.35">
      <c r="B43" s="17" t="s">
        <v>73</v>
      </c>
    </row>
    <row r="44" spans="2:2" x14ac:dyDescent="0.35">
      <c r="B44" s="17" t="s">
        <v>74</v>
      </c>
    </row>
    <row r="45" spans="2:2" x14ac:dyDescent="0.35">
      <c r="B45" s="17" t="s">
        <v>75</v>
      </c>
    </row>
    <row r="46" spans="2:2" x14ac:dyDescent="0.35">
      <c r="B46" s="17"/>
    </row>
    <row r="47" spans="2:2" x14ac:dyDescent="0.35">
      <c r="B47" s="17" t="s">
        <v>76</v>
      </c>
    </row>
    <row r="48" spans="2:2" x14ac:dyDescent="0.35">
      <c r="B48" s="17" t="s">
        <v>77</v>
      </c>
    </row>
    <row r="49" spans="1:2" x14ac:dyDescent="0.35">
      <c r="B49" s="17" t="s">
        <v>78</v>
      </c>
    </row>
    <row r="50" spans="1:2" x14ac:dyDescent="0.35">
      <c r="B50" s="17"/>
    </row>
    <row r="51" spans="1:2" x14ac:dyDescent="0.35">
      <c r="B51" s="17" t="s">
        <v>79</v>
      </c>
    </row>
    <row r="52" spans="1:2" x14ac:dyDescent="0.35">
      <c r="B52" s="17" t="s">
        <v>80</v>
      </c>
    </row>
    <row r="53" spans="1:2" x14ac:dyDescent="0.35">
      <c r="B53" s="17" t="s">
        <v>81</v>
      </c>
    </row>
    <row r="54" spans="1:2" x14ac:dyDescent="0.35">
      <c r="B54" s="17"/>
    </row>
    <row r="55" spans="1:2" x14ac:dyDescent="0.35">
      <c r="B55" s="17" t="s">
        <v>82</v>
      </c>
    </row>
    <row r="56" spans="1:2" x14ac:dyDescent="0.35">
      <c r="B56" s="17"/>
    </row>
    <row r="57" spans="1:2" x14ac:dyDescent="0.35">
      <c r="A57" t="s">
        <v>25</v>
      </c>
      <c r="B57" t="s">
        <v>83</v>
      </c>
    </row>
    <row r="58" spans="1:2" x14ac:dyDescent="0.35">
      <c r="B58" t="s">
        <v>84</v>
      </c>
    </row>
    <row r="60" spans="1:2" x14ac:dyDescent="0.35">
      <c r="B60" s="15" t="str">
        <f ca="1">_xlfn.FORMULATEXT(F2)</f>
        <v>=IFERROR(VLOOKUP(B2,'Employee details - old system'!$A$1:$C$10,3,0),"London")</v>
      </c>
    </row>
    <row r="62" spans="1:2" x14ac:dyDescent="0.35">
      <c r="B62" t="s">
        <v>85</v>
      </c>
    </row>
    <row r="63" spans="1:2" x14ac:dyDescent="0.35">
      <c r="B63" t="s">
        <v>86</v>
      </c>
    </row>
    <row r="65" spans="2:2" x14ac:dyDescent="0.35">
      <c r="B65" s="15" t="s">
        <v>87</v>
      </c>
    </row>
    <row r="66" spans="2:2" x14ac:dyDescent="0.35">
      <c r="B66" s="16" t="s">
        <v>88</v>
      </c>
    </row>
    <row r="68" spans="2:2" x14ac:dyDescent="0.35">
      <c r="B68" t="s">
        <v>89</v>
      </c>
    </row>
    <row r="69" spans="2:2" x14ac:dyDescent="0.35">
      <c r="B69" t="s">
        <v>90</v>
      </c>
    </row>
    <row r="70" spans="2:2" x14ac:dyDescent="0.35">
      <c r="B70" t="s">
        <v>91</v>
      </c>
    </row>
    <row r="71" spans="2:2" x14ac:dyDescent="0.35">
      <c r="B71" t="s">
        <v>92</v>
      </c>
    </row>
    <row r="73" spans="2:2" x14ac:dyDescent="0.35">
      <c r="B73" t="s">
        <v>93</v>
      </c>
    </row>
    <row r="74" spans="2:2" x14ac:dyDescent="0.35">
      <c r="B74" t="s">
        <v>94</v>
      </c>
    </row>
    <row r="76" spans="2:2" x14ac:dyDescent="0.35">
      <c r="B76" s="15" t="s">
        <v>95</v>
      </c>
    </row>
    <row r="77" spans="2:2" x14ac:dyDescent="0.35">
      <c r="B77" s="16" t="s">
        <v>96</v>
      </c>
    </row>
    <row r="79" spans="2:2" x14ac:dyDescent="0.35">
      <c r="B79" t="s">
        <v>97</v>
      </c>
    </row>
    <row r="80" spans="2:2" x14ac:dyDescent="0.35">
      <c r="B80" t="s">
        <v>98</v>
      </c>
    </row>
    <row r="82" spans="1:2" x14ac:dyDescent="0.35">
      <c r="B82" t="s">
        <v>99</v>
      </c>
    </row>
    <row r="83" spans="1:2" x14ac:dyDescent="0.35">
      <c r="B83" t="s">
        <v>100</v>
      </c>
    </row>
    <row r="84" spans="1:2" x14ac:dyDescent="0.35">
      <c r="B84" t="s">
        <v>101</v>
      </c>
    </row>
    <row r="86" spans="1:2" x14ac:dyDescent="0.35">
      <c r="B86" t="s">
        <v>102</v>
      </c>
    </row>
    <row r="88" spans="1:2" x14ac:dyDescent="0.35">
      <c r="A88" t="s">
        <v>27</v>
      </c>
      <c r="B88" t="s">
        <v>28</v>
      </c>
    </row>
    <row r="90" spans="1:2" x14ac:dyDescent="0.35">
      <c r="B90" s="15" t="str">
        <f ca="1">_xlfn.FORMULATEXT(G2)</f>
        <v>=IFERROR(VLOOKUP(B2,'Employee details - old system'!$A$1:$B$10,2,0),DATE(2020,5,1))</v>
      </c>
    </row>
    <row r="92" spans="1:2" x14ac:dyDescent="0.35">
      <c r="B92" t="s">
        <v>103</v>
      </c>
    </row>
    <row r="93" spans="1:2" x14ac:dyDescent="0.35">
      <c r="B93" t="s">
        <v>104</v>
      </c>
    </row>
    <row r="94" spans="1:2" x14ac:dyDescent="0.35">
      <c r="B94" s="15" t="s">
        <v>105</v>
      </c>
    </row>
    <row r="95" spans="1:2" x14ac:dyDescent="0.35">
      <c r="B95" s="16" t="s">
        <v>106</v>
      </c>
    </row>
    <row r="97" spans="1:2" x14ac:dyDescent="0.35">
      <c r="B97" t="s">
        <v>107</v>
      </c>
    </row>
    <row r="99" spans="1:2" x14ac:dyDescent="0.35">
      <c r="A99" t="s">
        <v>29</v>
      </c>
      <c r="B99" t="s">
        <v>30</v>
      </c>
    </row>
    <row r="101" spans="1:2" x14ac:dyDescent="0.35">
      <c r="B101" s="15" t="str">
        <f ca="1">_xlfn.FORMULATEXT(H2)</f>
        <v>=IF(YEAR(G2)&lt;2019,"Experienced","No Experience")</v>
      </c>
    </row>
    <row r="103" spans="1:2" x14ac:dyDescent="0.35">
      <c r="B103" t="s">
        <v>108</v>
      </c>
    </row>
    <row r="104" spans="1:2" x14ac:dyDescent="0.35">
      <c r="B104" s="15" t="s">
        <v>109</v>
      </c>
    </row>
    <row r="105" spans="1:2" x14ac:dyDescent="0.35">
      <c r="B105" s="16" t="s">
        <v>110</v>
      </c>
    </row>
    <row r="107" spans="1:2" x14ac:dyDescent="0.35">
      <c r="B107" t="s">
        <v>111</v>
      </c>
    </row>
    <row r="108" spans="1:2" x14ac:dyDescent="0.35">
      <c r="B108" t="s">
        <v>112</v>
      </c>
    </row>
    <row r="109" spans="1:2" x14ac:dyDescent="0.35">
      <c r="B109" t="s">
        <v>113</v>
      </c>
    </row>
    <row r="111" spans="1:2" x14ac:dyDescent="0.35">
      <c r="A111" t="s">
        <v>31</v>
      </c>
      <c r="B111" t="s">
        <v>32</v>
      </c>
    </row>
    <row r="112" spans="1:2" x14ac:dyDescent="0.35">
      <c r="B112" t="s">
        <v>33</v>
      </c>
    </row>
    <row r="113" spans="2:2" x14ac:dyDescent="0.35">
      <c r="B113" t="s">
        <v>34</v>
      </c>
    </row>
    <row r="114" spans="2:2" x14ac:dyDescent="0.35">
      <c r="B114" t="s">
        <v>35</v>
      </c>
    </row>
    <row r="116" spans="2:2" x14ac:dyDescent="0.35">
      <c r="B116" t="s">
        <v>36</v>
      </c>
    </row>
    <row r="118" spans="2:2" x14ac:dyDescent="0.35">
      <c r="B118" s="15" t="str">
        <f ca="1">_xlfn.FORMULATEXT(J2)</f>
        <v>=IF(YEAR(G2)&lt;=2018,10%,IF(YEAR(G2)=2019,5%,3%))</v>
      </c>
    </row>
    <row r="120" spans="2:2" x14ac:dyDescent="0.35">
      <c r="B120" t="s">
        <v>114</v>
      </c>
    </row>
    <row r="121" spans="2:2" x14ac:dyDescent="0.35">
      <c r="B121" t="s">
        <v>115</v>
      </c>
    </row>
    <row r="123" spans="2:2" ht="21" x14ac:dyDescent="0.5">
      <c r="B123" t="s">
        <v>116</v>
      </c>
    </row>
    <row r="124" spans="2:2" x14ac:dyDescent="0.35">
      <c r="B124" t="s">
        <v>117</v>
      </c>
    </row>
    <row r="125" spans="2:2" x14ac:dyDescent="0.35">
      <c r="B125" t="s">
        <v>118</v>
      </c>
    </row>
    <row r="126" spans="2:2" x14ac:dyDescent="0.35">
      <c r="B126" t="s">
        <v>119</v>
      </c>
    </row>
    <row r="127" spans="2:2" x14ac:dyDescent="0.35">
      <c r="B127" t="s">
        <v>120</v>
      </c>
    </row>
    <row r="129" spans="2:2" x14ac:dyDescent="0.35">
      <c r="B129" t="s">
        <v>121</v>
      </c>
    </row>
  </sheetData>
  <sheetProtection sheet="1" objects="1" scenarios="1"/>
  <hyperlinks>
    <hyperlink ref="B3" r:id="rId1" xr:uid="{D5BA3071-80C7-4ACD-838F-D3A836CAB4FF}"/>
    <hyperlink ref="B4" r:id="rId2" xr:uid="{8EDE570B-FBD5-4F17-894C-93DED1C7B8F7}"/>
    <hyperlink ref="B8" r:id="rId3" xr:uid="{D419CB69-DDB7-4C37-90E7-D4A9741DE5AC}"/>
    <hyperlink ref="B6" r:id="rId4" xr:uid="{79F5D575-7BDB-48BD-989C-AB2C6151C1BF}"/>
    <hyperlink ref="B7" r:id="rId5" xr:uid="{1E7B0B32-FEF3-4F22-A7C7-C3604A7D1EE1}"/>
    <hyperlink ref="B5" r:id="rId6" xr:uid="{56A80E16-C10E-46C3-A9CA-25688B65CE19}"/>
    <hyperlink ref="B9" r:id="rId7" xr:uid="{3AE6AB8B-D586-4796-A237-BD87DFB3355F}"/>
    <hyperlink ref="B2" r:id="rId8" xr:uid="{C0F9CAF6-4585-4AB8-AAAA-6B05A0073D0A}"/>
  </hyperlinks>
  <pageMargins left="0.7" right="0.7" top="0.75" bottom="0.75" header="0.3" footer="0.3"/>
  <pageSetup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Questions</vt:lpstr>
      <vt:lpstr>Employee details - old system</vt:lpstr>
      <vt:lpstr>Solution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Dikla Gelbard</dc:creator>
  <cp:keywords/>
  <dc:description/>
  <cp:lastModifiedBy>Khoo Zi Wei</cp:lastModifiedBy>
  <cp:revision/>
  <dcterms:created xsi:type="dcterms:W3CDTF">2021-06-04T14:12:02Z</dcterms:created>
  <dcterms:modified xsi:type="dcterms:W3CDTF">2025-11-19T09:30:19Z</dcterms:modified>
  <cp:category/>
  <cp:contentStatus/>
</cp:coreProperties>
</file>