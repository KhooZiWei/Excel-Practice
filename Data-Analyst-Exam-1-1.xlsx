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66925"/>
  <mc:AlternateContent xmlns:mc="http://schemas.openxmlformats.org/markup-compatibility/2006">
    <mc:Choice Requires="x15">
      <x15ac:absPath xmlns:x15ac="http://schemas.microsoft.com/office/spreadsheetml/2010/11/ac" url="C:\Users\user\Dropbox\PC\Documents\Excel_Data_Analytics\Practice\"/>
    </mc:Choice>
  </mc:AlternateContent>
  <xr:revisionPtr revIDLastSave="0" documentId="13_ncr:1_{39390FD0-81E5-4D47-8D47-F31D9C5BC1AC}" xr6:coauthVersionLast="47" xr6:coauthVersionMax="47" xr10:uidLastSave="{00000000-0000-0000-0000-000000000000}"/>
  <bookViews>
    <workbookView xWindow="28680" yWindow="-120" windowWidth="29040" windowHeight="15720" xr2:uid="{00000000-000D-0000-FFFF-FFFF00000000}"/>
  </bookViews>
  <sheets>
    <sheet name="Questions" sheetId="1" r:id="rId1"/>
    <sheet name="Manufacturing country" sheetId="2" r:id="rId2"/>
    <sheet name="Solution" sheetId="4" r:id="rId3"/>
  </sheets>
  <definedNames>
    <definedName name="_xlnm._FilterDatabase" localSheetId="0" hidden="1">#REF!</definedName>
    <definedName name="_xlnm._FilterDatabase" localSheetId="2" hidden="1">Solution!$B$301:$K$319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0" i="1" l="1"/>
  <c r="R21" i="1"/>
  <c r="R22" i="1"/>
  <c r="R19" i="1"/>
  <c r="Q19" i="1" a="1"/>
  <c r="Q19" i="1" s="1"/>
  <c r="I3" i="1" a="1"/>
  <c r="I3" i="1" s="1"/>
  <c r="R9" i="1"/>
  <c r="R10" i="1"/>
  <c r="R11" i="1"/>
  <c r="R12" i="1"/>
  <c r="R8" i="1"/>
  <c r="Q8" i="1" a="1"/>
  <c r="Q8" i="1" s="1"/>
  <c r="J8" i="1"/>
  <c r="J9" i="1"/>
  <c r="J10" i="1"/>
  <c r="J11" i="1"/>
  <c r="J12" i="1"/>
  <c r="J13" i="1"/>
  <c r="J14" i="1"/>
  <c r="J15" i="1"/>
  <c r="J16" i="1"/>
  <c r="J17" i="1"/>
  <c r="J18" i="1"/>
  <c r="J19" i="1"/>
  <c r="J20" i="1"/>
  <c r="J21" i="1"/>
  <c r="J22" i="1"/>
  <c r="J23" i="1"/>
  <c r="J24" i="1"/>
  <c r="J25" i="1"/>
  <c r="N20" i="1" a="1"/>
  <c r="N20" i="1" s="1"/>
  <c r="O20" i="1" s="1" a="1"/>
  <c r="O20"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153" i="4"/>
  <c r="J153" i="4" s="1"/>
  <c r="I152" i="4"/>
  <c r="J152" i="4" s="1"/>
  <c r="I151" i="4"/>
  <c r="J151" i="4" s="1"/>
  <c r="I150" i="4"/>
  <c r="J150" i="4" s="1"/>
  <c r="I149" i="4"/>
  <c r="J149" i="4" s="1"/>
  <c r="I148" i="4"/>
  <c r="J148" i="4" s="1"/>
  <c r="I147" i="4"/>
  <c r="J147" i="4" s="1"/>
  <c r="I146" i="4"/>
  <c r="J146" i="4" s="1"/>
  <c r="I145" i="4"/>
  <c r="J145" i="4" s="1"/>
  <c r="I144" i="4"/>
  <c r="J144" i="4" s="1"/>
  <c r="I143" i="4"/>
  <c r="J143" i="4" s="1"/>
  <c r="I142" i="4"/>
  <c r="J142" i="4" s="1"/>
  <c r="I141" i="4"/>
  <c r="J141" i="4" s="1"/>
  <c r="I140" i="4"/>
  <c r="J140" i="4" s="1"/>
  <c r="I139" i="4"/>
  <c r="J139" i="4" s="1"/>
  <c r="I138" i="4"/>
  <c r="J138" i="4" s="1"/>
  <c r="I137" i="4"/>
  <c r="J137" i="4" s="1"/>
  <c r="I136" i="4"/>
  <c r="J136" i="4" s="1"/>
  <c r="B326" i="4" a="1"/>
  <c r="B326" i="4"/>
  <c r="J303" i="4"/>
  <c r="J304" i="4"/>
  <c r="J305" i="4"/>
  <c r="J306" i="4"/>
  <c r="J307" i="4"/>
  <c r="J308" i="4"/>
  <c r="J309" i="4"/>
  <c r="J310" i="4"/>
  <c r="J311" i="4"/>
  <c r="J312" i="4"/>
  <c r="J313" i="4"/>
  <c r="J314" i="4"/>
  <c r="J315" i="4"/>
  <c r="J316" i="4"/>
  <c r="J317" i="4"/>
  <c r="J318" i="4"/>
  <c r="J319" i="4"/>
  <c r="J302" i="4"/>
  <c r="I319" i="4"/>
  <c r="I318" i="4"/>
  <c r="I317" i="4"/>
  <c r="I316" i="4"/>
  <c r="I315" i="4"/>
  <c r="I314" i="4"/>
  <c r="I313" i="4"/>
  <c r="I312" i="4"/>
  <c r="I311" i="4"/>
  <c r="I310" i="4"/>
  <c r="I309" i="4"/>
  <c r="I308" i="4"/>
  <c r="I307" i="4"/>
  <c r="I306" i="4"/>
  <c r="I305" i="4"/>
  <c r="I304" i="4"/>
  <c r="I303" i="4"/>
  <c r="I302" i="4"/>
  <c r="J268" i="4"/>
  <c r="J267" i="4"/>
  <c r="B291" i="4" a="1"/>
  <c r="B291" i="4"/>
  <c r="J269" i="4"/>
  <c r="J270" i="4"/>
  <c r="J271" i="4"/>
  <c r="J272" i="4"/>
  <c r="J273" i="4"/>
  <c r="J274" i="4"/>
  <c r="J275" i="4"/>
  <c r="J276" i="4"/>
  <c r="J277" i="4"/>
  <c r="J278" i="4"/>
  <c r="J279" i="4"/>
  <c r="J280" i="4"/>
  <c r="J281" i="4"/>
  <c r="J282" i="4"/>
  <c r="J283" i="4"/>
  <c r="J284" i="4"/>
  <c r="I284" i="4"/>
  <c r="I283" i="4"/>
  <c r="I282" i="4"/>
  <c r="I281" i="4"/>
  <c r="I280" i="4"/>
  <c r="I279" i="4"/>
  <c r="I278" i="4"/>
  <c r="I277" i="4"/>
  <c r="I276" i="4"/>
  <c r="I275" i="4"/>
  <c r="I274" i="4"/>
  <c r="I273" i="4"/>
  <c r="I272" i="4"/>
  <c r="I271" i="4"/>
  <c r="I270" i="4"/>
  <c r="I269" i="4"/>
  <c r="I268" i="4"/>
  <c r="I267" i="4"/>
  <c r="B243" i="4" a="1"/>
  <c r="B243" i="4"/>
  <c r="C243" i="4" s="1"/>
  <c r="J207" i="4"/>
  <c r="J208" i="4"/>
  <c r="J209" i="4"/>
  <c r="J210" i="4"/>
  <c r="J211" i="4"/>
  <c r="J212" i="4"/>
  <c r="J213" i="4"/>
  <c r="J214" i="4"/>
  <c r="J215" i="4"/>
  <c r="J216" i="4"/>
  <c r="J217" i="4"/>
  <c r="J218" i="4"/>
  <c r="J219" i="4"/>
  <c r="J220" i="4"/>
  <c r="J221" i="4"/>
  <c r="J222" i="4"/>
  <c r="J223" i="4"/>
  <c r="J206" i="4"/>
  <c r="B228" i="4" s="1" a="1"/>
  <c r="B228" i="4" s="1"/>
  <c r="I223" i="4"/>
  <c r="I222" i="4"/>
  <c r="I221" i="4"/>
  <c r="I220" i="4"/>
  <c r="I219" i="4"/>
  <c r="I218" i="4"/>
  <c r="I217" i="4"/>
  <c r="I216" i="4"/>
  <c r="I215" i="4"/>
  <c r="I214" i="4"/>
  <c r="I213" i="4"/>
  <c r="I212" i="4"/>
  <c r="I211" i="4"/>
  <c r="I210" i="4"/>
  <c r="I209" i="4"/>
  <c r="I208" i="4"/>
  <c r="I207" i="4"/>
  <c r="I206" i="4"/>
  <c r="B175" i="4" a="1"/>
  <c r="B175" i="4"/>
  <c r="C175" i="4"/>
  <c r="I128" i="4"/>
  <c r="J128" i="4" s="1"/>
  <c r="I127" i="4"/>
  <c r="J127" i="4" s="1"/>
  <c r="I126" i="4"/>
  <c r="J126" i="4" s="1"/>
  <c r="I125" i="4"/>
  <c r="J125" i="4" s="1"/>
  <c r="I124" i="4"/>
  <c r="J124" i="4" s="1"/>
  <c r="I123" i="4"/>
  <c r="J123" i="4" s="1"/>
  <c r="I122" i="4"/>
  <c r="J122" i="4" s="1"/>
  <c r="I121" i="4"/>
  <c r="J121" i="4" s="1"/>
  <c r="I120" i="4"/>
  <c r="J120" i="4" s="1"/>
  <c r="I119" i="4"/>
  <c r="J119" i="4" s="1"/>
  <c r="I118" i="4"/>
  <c r="J118" i="4" s="1"/>
  <c r="I117" i="4"/>
  <c r="J117" i="4" s="1"/>
  <c r="I116" i="4"/>
  <c r="J116" i="4" s="1"/>
  <c r="I115" i="4"/>
  <c r="J115" i="4" s="1"/>
  <c r="I114" i="4"/>
  <c r="J114" i="4" s="1"/>
  <c r="I113" i="4"/>
  <c r="J113" i="4" s="1"/>
  <c r="I112" i="4"/>
  <c r="J112" i="4" s="1"/>
  <c r="I111" i="4"/>
  <c r="J111" i="4" s="1"/>
  <c r="B162" i="4" s="1" a="1"/>
  <c r="I30" i="4"/>
  <c r="I31" i="4"/>
  <c r="I32" i="4"/>
  <c r="I33" i="4"/>
  <c r="I34" i="4"/>
  <c r="I35" i="4"/>
  <c r="I36" i="4"/>
  <c r="I37" i="4"/>
  <c r="I38" i="4"/>
  <c r="I39" i="4"/>
  <c r="I40" i="4"/>
  <c r="I41" i="4"/>
  <c r="I42" i="4"/>
  <c r="I43" i="4"/>
  <c r="I44" i="4"/>
  <c r="I45" i="4"/>
  <c r="I46" i="4"/>
  <c r="I29" i="4"/>
  <c r="B90" i="4" s="1" a="1"/>
  <c r="K137" i="4"/>
  <c r="K319" i="4"/>
  <c r="K315" i="4"/>
  <c r="K311" i="4"/>
  <c r="K307" i="4"/>
  <c r="K303" i="4"/>
  <c r="D294" i="4"/>
  <c r="K272" i="4"/>
  <c r="K280" i="4"/>
  <c r="D246" i="4"/>
  <c r="K209" i="4"/>
  <c r="K217" i="4"/>
  <c r="K113" i="4"/>
  <c r="K121" i="4"/>
  <c r="K111" i="4"/>
  <c r="D96" i="4"/>
  <c r="J34" i="4"/>
  <c r="J42" i="4"/>
  <c r="K147" i="4"/>
  <c r="K139" i="4"/>
  <c r="D163" i="4"/>
  <c r="D291" i="4"/>
  <c r="K283" i="4"/>
  <c r="D243" i="4"/>
  <c r="K116" i="4"/>
  <c r="C70" i="4"/>
  <c r="J31" i="4"/>
  <c r="D166" i="4"/>
  <c r="K312" i="4"/>
  <c r="K270" i="4"/>
  <c r="K215" i="4"/>
  <c r="K119" i="4"/>
  <c r="J40" i="4"/>
  <c r="K145" i="4"/>
  <c r="D162" i="4"/>
  <c r="K206" i="4"/>
  <c r="D95" i="4"/>
  <c r="K152" i="4"/>
  <c r="K148" i="4"/>
  <c r="K144" i="4"/>
  <c r="K140" i="4"/>
  <c r="K136" i="4"/>
  <c r="D293" i="4"/>
  <c r="K273" i="4"/>
  <c r="K281" i="4"/>
  <c r="D245" i="4"/>
  <c r="K210" i="4"/>
  <c r="K218" i="4"/>
  <c r="K114" i="4"/>
  <c r="K122" i="4"/>
  <c r="D97" i="4"/>
  <c r="J35" i="4"/>
  <c r="J43" i="4"/>
  <c r="K143" i="4"/>
  <c r="K124" i="4"/>
  <c r="K308" i="4"/>
  <c r="K153" i="4"/>
  <c r="K120" i="4"/>
  <c r="D329" i="4"/>
  <c r="K318" i="4"/>
  <c r="K314" i="4"/>
  <c r="K310" i="4"/>
  <c r="K306" i="4"/>
  <c r="K302" i="4"/>
  <c r="D292" i="4"/>
  <c r="K274" i="4"/>
  <c r="K282" i="4"/>
  <c r="D244" i="4"/>
  <c r="K211" i="4"/>
  <c r="K219" i="4"/>
  <c r="K115" i="4"/>
  <c r="K123" i="4"/>
  <c r="D90" i="4"/>
  <c r="J36" i="4"/>
  <c r="J44" i="4"/>
  <c r="K151" i="4"/>
  <c r="D328" i="4"/>
  <c r="K275" i="4"/>
  <c r="K212" i="4"/>
  <c r="K220" i="4"/>
  <c r="D91" i="4"/>
  <c r="J37" i="4"/>
  <c r="J45" i="4"/>
  <c r="J39" i="4"/>
  <c r="K304" i="4"/>
  <c r="K223" i="4"/>
  <c r="D94" i="4"/>
  <c r="K141" i="4"/>
  <c r="K279" i="4"/>
  <c r="K216" i="4"/>
  <c r="K112" i="4"/>
  <c r="J41" i="4"/>
  <c r="D164" i="4"/>
  <c r="D327" i="4"/>
  <c r="K317" i="4"/>
  <c r="K313" i="4"/>
  <c r="K309" i="4"/>
  <c r="K305" i="4"/>
  <c r="K268" i="4"/>
  <c r="K276" i="4"/>
  <c r="K284" i="4"/>
  <c r="K213" i="4"/>
  <c r="K221" i="4"/>
  <c r="K117" i="4"/>
  <c r="K125" i="4"/>
  <c r="D92" i="4"/>
  <c r="J30" i="4"/>
  <c r="J38" i="4"/>
  <c r="J46" i="4"/>
  <c r="K150" i="4"/>
  <c r="K146" i="4"/>
  <c r="K142" i="4"/>
  <c r="K138" i="4"/>
  <c r="D165" i="4"/>
  <c r="D326" i="4"/>
  <c r="K269" i="4"/>
  <c r="K277" i="4"/>
  <c r="K267" i="4"/>
  <c r="K214" i="4"/>
  <c r="K222" i="4"/>
  <c r="K118" i="4"/>
  <c r="K126" i="4"/>
  <c r="D93" i="4"/>
  <c r="J29" i="4"/>
  <c r="K316" i="4"/>
  <c r="K278" i="4"/>
  <c r="K207" i="4"/>
  <c r="K127" i="4"/>
  <c r="J32" i="4"/>
  <c r="K149" i="4"/>
  <c r="K271" i="4"/>
  <c r="K208" i="4"/>
  <c r="K128" i="4"/>
  <c r="J33" i="4"/>
  <c r="O24" i="1" l="1" a="1"/>
  <c r="O24" i="1" s="1"/>
  <c r="N8" i="1" a="1"/>
  <c r="O23" i="1" a="1"/>
  <c r="O23" i="1" s="1"/>
  <c r="O22" i="1" a="1"/>
  <c r="O22" i="1" s="1"/>
  <c r="O21" i="1" a="1"/>
  <c r="O21" i="1" s="1"/>
  <c r="I4" i="1" s="1" a="1"/>
  <c r="I4" i="1" s="1"/>
  <c r="B162" i="4"/>
  <c r="C162" i="4" s="1"/>
  <c r="C163" i="4"/>
  <c r="C164" i="4"/>
  <c r="C165" i="4"/>
  <c r="C166" i="4"/>
  <c r="B90" i="4"/>
  <c r="C90" i="4" s="1"/>
  <c r="C91" i="4"/>
  <c r="C92" i="4"/>
  <c r="C93" i="4"/>
  <c r="C94" i="4"/>
  <c r="C95" i="4"/>
  <c r="C96" i="4"/>
  <c r="C97" i="4"/>
  <c r="C244" i="4"/>
  <c r="C245" i="4"/>
  <c r="C246" i="4"/>
  <c r="C291" i="4"/>
  <c r="C292" i="4"/>
  <c r="C293" i="4"/>
  <c r="C294" i="4"/>
  <c r="C326" i="4"/>
  <c r="C327" i="4"/>
  <c r="C328" i="4"/>
  <c r="C329" i="4"/>
  <c r="C232" i="4"/>
  <c r="C231" i="4"/>
  <c r="C230" i="4"/>
  <c r="C229" i="4"/>
  <c r="C228" i="4"/>
  <c r="C176" i="4"/>
  <c r="C177" i="4"/>
  <c r="C178" i="4"/>
  <c r="C179" i="4"/>
  <c r="C180" i="4"/>
  <c r="C181" i="4"/>
  <c r="B58" i="4" a="1"/>
  <c r="B70" i="4" a="1"/>
  <c r="B70" i="4" s="1"/>
  <c r="B58" i="4"/>
  <c r="C59" i="4"/>
  <c r="C60" i="4"/>
  <c r="C61" i="4"/>
  <c r="C62" i="4"/>
  <c r="C63" i="4"/>
  <c r="C64" i="4"/>
  <c r="C65" i="4"/>
  <c r="N8" i="1" l="1"/>
  <c r="O8" i="1" s="1"/>
  <c r="O12" i="1"/>
  <c r="O13" i="1"/>
  <c r="O14" i="1"/>
  <c r="O15" i="1"/>
  <c r="O10" i="1"/>
  <c r="O9" i="1"/>
  <c r="O11" i="1"/>
  <c r="C58" i="4"/>
  <c r="I2" i="1" l="1" a="1"/>
  <c r="I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<sst xmlns="http://schemas.openxmlformats.org/spreadsheetml/2006/main" count="877" uniqueCount="136">
  <si>
    <t>You are the data analyst of a luxury car dealership. You were assigned with the following tasks:</t>
  </si>
  <si>
    <t>What's the most popular car manufacturer?</t>
  </si>
  <si>
    <t>What's the most popular manufacturing country (Refer to "Manufacturing country" sheet)?</t>
  </si>
  <si>
    <t>What's the least popular color for cars?</t>
  </si>
  <si>
    <t>What's the average price per owner?</t>
  </si>
  <si>
    <t>Car</t>
  </si>
  <si>
    <t>Year</t>
  </si>
  <si>
    <t>KM Driven</t>
  </si>
  <si>
    <t>Color</t>
  </si>
  <si>
    <t>Transimission</t>
  </si>
  <si>
    <t>Owner</t>
  </si>
  <si>
    <t>Price (USD)</t>
  </si>
  <si>
    <t>BMW X5</t>
  </si>
  <si>
    <t>White</t>
  </si>
  <si>
    <t>Automatic</t>
  </si>
  <si>
    <t>1st owner</t>
  </si>
  <si>
    <t>$15400</t>
  </si>
  <si>
    <t>Audi A3</t>
  </si>
  <si>
    <t>Red</t>
  </si>
  <si>
    <t>Manual</t>
  </si>
  <si>
    <t>2nd owner</t>
  </si>
  <si>
    <t>$24321</t>
  </si>
  <si>
    <t>Mercedes S-Class</t>
  </si>
  <si>
    <t>Black</t>
  </si>
  <si>
    <t>3rd owner</t>
  </si>
  <si>
    <t>$102342</t>
  </si>
  <si>
    <t>$55272</t>
  </si>
  <si>
    <t>BMW X3</t>
  </si>
  <si>
    <t>$42000</t>
  </si>
  <si>
    <t>Lexus RX350</t>
  </si>
  <si>
    <t>$51292</t>
  </si>
  <si>
    <t>Blue</t>
  </si>
  <si>
    <t>$37605</t>
  </si>
  <si>
    <t xml:space="preserve">Blue </t>
  </si>
  <si>
    <t>$45000</t>
  </si>
  <si>
    <t>BMW 3 Series</t>
  </si>
  <si>
    <t>$13241</t>
  </si>
  <si>
    <t>$49344</t>
  </si>
  <si>
    <t>Tesla Model 3</t>
  </si>
  <si>
    <t>Yellow</t>
  </si>
  <si>
    <t>$52432</t>
  </si>
  <si>
    <t>Volvo XC90</t>
  </si>
  <si>
    <t xml:space="preserve"> Black</t>
  </si>
  <si>
    <t>$17452</t>
  </si>
  <si>
    <t>Audi Q7</t>
  </si>
  <si>
    <t>$23250</t>
  </si>
  <si>
    <t>Cadillac XT5</t>
  </si>
  <si>
    <t>$32420</t>
  </si>
  <si>
    <t>Jaguar XF</t>
  </si>
  <si>
    <t>$18454</t>
  </si>
  <si>
    <t>$41000</t>
  </si>
  <si>
    <t>BMW 428i</t>
  </si>
  <si>
    <t>$35240</t>
  </si>
  <si>
    <t>4th owner</t>
  </si>
  <si>
    <t>$22520</t>
  </si>
  <si>
    <t>Company</t>
  </si>
  <si>
    <t>Country</t>
  </si>
  <si>
    <t>BMW</t>
  </si>
  <si>
    <t>Germany</t>
  </si>
  <si>
    <t>Audi</t>
  </si>
  <si>
    <t>Tesla</t>
  </si>
  <si>
    <t>USA</t>
  </si>
  <si>
    <t>Jaguar</t>
  </si>
  <si>
    <t>UK</t>
  </si>
  <si>
    <t>Mercedes</t>
  </si>
  <si>
    <t>Volvo</t>
  </si>
  <si>
    <t>Sweden</t>
  </si>
  <si>
    <t>Cadillac</t>
  </si>
  <si>
    <t>Lexus</t>
  </si>
  <si>
    <t>Japan</t>
  </si>
  <si>
    <t>Answer:</t>
  </si>
  <si>
    <t>To answer this, we must first extract the manufacturer's name from the "Car" column, as there are manufacturers that have more than one model listed.</t>
  </si>
  <si>
    <t>To do this, we can add a new column, and apply the LEFT function, combined with a FIND function, to extract only the first word from "Car":</t>
  </si>
  <si>
    <t>Manufacturer</t>
  </si>
  <si>
    <t xml:space="preserve">The LEFT function extracts characters from the left side of the cell. How many characters? This is determined in the 2nd argument here - And instead of writing a specific character position, </t>
  </si>
  <si>
    <t>we are using the FIND function to find the first space character position, and then subtract 1 (as we are not interested in extracting the space itself, only what's before.</t>
  </si>
  <si>
    <t>Click here to learn and practice the LEFT function</t>
  </si>
  <si>
    <t>Click here to learn and practice the FIND function</t>
  </si>
  <si>
    <t>Now that we have extracted the Manufacturer's name, we can check who's the most popular one:</t>
  </si>
  <si>
    <t>Let's use a UNIQUE &amp; COUNTIF for this example:</t>
  </si>
  <si>
    <t>Count</t>
  </si>
  <si>
    <t>The UNIQUE Function allows us to keep only 1 unique value for each of the values in the table above.</t>
  </si>
  <si>
    <t xml:space="preserve">All we have to do is write UNIQUE only once, select the range from which we wish to find our unique values, and that's it! </t>
  </si>
  <si>
    <t xml:space="preserve">If you are surprised by to looks of this function, that's because it's a dynamic array function - It works on an array, and if the array changes (let's say - We add a new manufacturer) - the unique list will change accordingly, showing the new manufacturer as well! </t>
  </si>
  <si>
    <t>Click here to learn and practice the UNIQUE function</t>
  </si>
  <si>
    <t>Please note that the UNIQUE function is supported in Excel 365/Online. If you are using older versions of Excel, you can use Remove Duplicates tool (in Data tab) instead.</t>
  </si>
  <si>
    <t>Click here to learn and practice the Remove Duplicates tool!</t>
  </si>
  <si>
    <t>Now, the only thing left is to count the occurences of each manufacturer in the table above. We can do this with the COUNTIF function which counts the amount of times each values appears in a table:</t>
  </si>
  <si>
    <t xml:space="preserve">Notice that we use absolute references (the dollar signs) to indicate that we want to always keep the same range we count, even if we go down to another row and apply the formula there. </t>
  </si>
  <si>
    <t>Click here to learn and practice the COUNTIF function</t>
  </si>
  <si>
    <t>Click here to learn and practice Absolute References as part of our must-read Excel Basics tutorial!</t>
  </si>
  <si>
    <t>First, we need to get the manufacturing country for each car maker.</t>
  </si>
  <si>
    <t xml:space="preserve">We can get this information from "Manufacturing country" sheet. But how? Well, by using a lookup function! </t>
  </si>
  <si>
    <t xml:space="preserve">Let's do this with XLOOKUP function, that will search for each manufacturer in the "Manufacturing country" sheet, and return the corresponding country. </t>
  </si>
  <si>
    <t>Click here to learn and practice the XLOOKUP function</t>
  </si>
  <si>
    <t>Please note that the UNIQUE function is supported in Excel 365/Online. If you are using older versions of Excel, you can use VLOOKUP or INDEX MATCH instead!</t>
  </si>
  <si>
    <t>This will be the solution using VLOOKUP instead of XLOOKUP:</t>
  </si>
  <si>
    <t>Click here to learn and practice the VLOOKUP function</t>
  </si>
  <si>
    <t>Click here to learn and practice the INDEX+MATCH functions</t>
  </si>
  <si>
    <t>Now that we have the Country for each Manufacturer, we can find the most popular country. We can use UNIQUE + COUNTIF functions, as we did in the previos question:</t>
  </si>
  <si>
    <t>That's easy! Let's do the UNIQUE + Countif Trick again:</t>
  </si>
  <si>
    <t xml:space="preserve">Wait! This is weird! The Blue &amp; Black color appear twice in our UNIQUE table? How come? </t>
  </si>
  <si>
    <t>Let's look closely at the original data - Can you see that there's a leading whitespace before the word Black?</t>
  </si>
  <si>
    <t>It seems that somebody left us an unpleasant surprise, and left whitespaces in some of the entries, which trick Excel to think that these are different values! (Whitespace is considered a character, thus a word with whitespace isn't the same as a word without one)</t>
  </si>
  <si>
    <t>But what about the Blue appearing twice? Let's look closely at our data, again:</t>
  </si>
  <si>
    <t xml:space="preserve">Notice the extra whitespace in the end? </t>
  </si>
  <si>
    <t>To get rid of these whitespaces, we can either:</t>
  </si>
  <si>
    <t>-</t>
  </si>
  <si>
    <t>Select the Color column, click CTRL+H (This will open Find&amp;Replace dialog), and replace all whitespaces (just hit space in the keyboard) with nothing (just keep it empty)</t>
  </si>
  <si>
    <t xml:space="preserve">Use the TRIM function to get rid of excess whitespaces - </t>
  </si>
  <si>
    <t>Color - Trimmed</t>
  </si>
  <si>
    <t>And then, let's apply the UNIQUE + COUNTIF again:</t>
  </si>
  <si>
    <t>Now, it's easy to see that yellow is the least popular color :-)</t>
  </si>
  <si>
    <t>Click here to learn and practice the TRIM function</t>
  </si>
  <si>
    <t>Let's use UNIQUE again, and this time combine it with AVERAGEIF, which calculates AVERAGE based on criteria:</t>
  </si>
  <si>
    <t>Average Price</t>
  </si>
  <si>
    <t>Click here to learn and practice the AVERAGEIF function</t>
  </si>
  <si>
    <t>Hey! Why is this not working?!</t>
  </si>
  <si>
    <t>#DIV/0 error indicates that the average can't be calculated as we divide by zero. That means that... we don't have any values at all? How is this even possible?!</t>
  </si>
  <si>
    <t>Let's look at the prices closely:</t>
  </si>
  <si>
    <t xml:space="preserve">Can you notice that the $ sign is actually a character? Excel can't handle with this, and thinks that this is not a number, but rather a text string! </t>
  </si>
  <si>
    <t xml:space="preserve">To be able to calculate this correctly, we must get rid of the $ sign. You can do this by either selecting the price column, clicking CTRL+H (Find&amp;Replace), and replacing $ with nothing (keep it empty). </t>
  </si>
  <si>
    <t>Alternatively, you can use the SUBSTITUTE function to get rid of the $ sign systematically:</t>
  </si>
  <si>
    <t>Price - Without $ sign</t>
  </si>
  <si>
    <t>Click here to learn more about SUBSTITUTE function!</t>
  </si>
  <si>
    <t>And now, we can finally get our work done:</t>
  </si>
  <si>
    <t xml:space="preserve">Wait! Still not? Why? </t>
  </si>
  <si>
    <t>Well, this is a tricky one... While it looked like we solved our problem, our output is still considered a text, and not a number. If Excel think something is text, it can't do any calculations on it (Even if it looks like a number!)</t>
  </si>
  <si>
    <t>To force it to become a number, we can use the VALUE function, after applying the SUBSTITUTE function first:</t>
  </si>
  <si>
    <t>Price - Without $ sign and stored as NUMBER!</t>
  </si>
  <si>
    <t>Click here to learn about the VALUE function!</t>
  </si>
  <si>
    <t>And finally, our result is.... :</t>
  </si>
  <si>
    <r>
      <rPr>
        <b/>
        <sz val="11"/>
        <color rgb="FF000000"/>
        <rFont val="Calibri"/>
        <family val="2"/>
      </rPr>
      <t xml:space="preserve">Tip - </t>
    </r>
    <r>
      <rPr>
        <sz val="11"/>
        <color rgb="FF000000"/>
        <rFont val="Calibri"/>
        <family val="2"/>
      </rPr>
      <t>If you still wish to keep the $ sign, but without having to actually type it - Use Cell Formatting instead:</t>
    </r>
  </si>
  <si>
    <t>That's it! Hope you enjoyed folks! Don't forget to share us with your friends if you love the content!</t>
  </si>
  <si>
    <t xml:space="preserve">Visit Excel Practice Online for more exercises and tutorials! </t>
  </si>
  <si>
    <t>Number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</si>
</sst>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8" x14ac:knownFonts="1">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family val="2"/>
    </font>
    <font>
      <sz val="11"/>
      <color rgb="FF444444"/>
      <name val="Calibri"/>
      <family val="2"/>
      <charset val="1"/>
    </font>
    <font>
      <sz val="11"/>
      <color rgb="FF000000"/>
      <name val="Calibri"/>
      <family val="2"/>
    </font>
    <font>
      <b/>
      <sz val="11"/>
      <color rgb="FF000000"/>
      <name val="Calibri"/>
      <family val="2"/>
    </font>
    <font>
      <b/>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2" fillId="0" borderId="0" xfId="0" applyFont="1"/>
    <xf numFmtId="0" fontId="0" fillId="2" borderId="0" xfId="0" applyFill="1"/>
    <xf numFmtId="0" fontId="3" fillId="0" borderId="0" xfId="0" applyFont="1"/>
    <xf numFmtId="0" fontId="1" fillId="0" borderId="0" xfId="1"/>
    <xf numFmtId="0" fontId="4" fillId="0" borderId="0" xfId="0" applyFont="1"/>
    <xf numFmtId="0" fontId="4" fillId="2" borderId="0" xfId="0" quotePrefix="1" applyFont="1" applyFill="1"/>
    <xf numFmtId="0" fontId="5" fillId="0" borderId="0" xfId="0" applyFont="1"/>
    <xf numFmtId="0" fontId="7" fillId="0" borderId="0" xfId="1" applyFont="1"/>
    <xf numFmtId="6" fontId="0" fillId="0" borderId="0" xfId="0" applyNumberFormat="1"/>
    <xf numFmtId="0" fontId="0" fillId="3" borderId="0" xfId="0" applyFill="1"/>
    <xf numFmtId="8" fontId="0" fillId="2" borderId="0" xfId="0" applyNumberFormat="1" applyFill="1"/>
  </cellXfs>
  <cellStyles count="2">
    <cellStyle name="Hyperlink" xfId="1" builtinId="8"/>
    <cellStyle name="Normal" xfId="0" builtinId="0"/>
  </cellStyles>
  <dxfs count="3">
    <dxf>
      <numFmt numFmtId="0" formatCode="General"/>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194</xdr:row>
      <xdr:rowOff>9525</xdr:rowOff>
    </xdr:from>
    <xdr:to>
      <xdr:col>2</xdr:col>
      <xdr:colOff>1285875</xdr:colOff>
      <xdr:row>196</xdr:row>
      <xdr:rowOff>171450</xdr:rowOff>
    </xdr:to>
    <xdr:pic>
      <xdr:nvPicPr>
        <xdr:cNvPr id="5" name="Picture 4">
          <a:extLst>
            <a:ext uri="{FF2B5EF4-FFF2-40B4-BE49-F238E27FC236}">
              <a16:creationId xmlns:a16="http://schemas.microsoft.com/office/drawing/2014/main" id="{517725F9-E909-FA31-F4FC-16F38765B3A3}"/>
            </a:ext>
          </a:extLst>
        </xdr:cNvPr>
        <xdr:cNvPicPr>
          <a:picLocks noChangeAspect="1"/>
        </xdr:cNvPicPr>
      </xdr:nvPicPr>
      <xdr:blipFill>
        <a:blip xmlns:r="http://schemas.openxmlformats.org/officeDocument/2006/relationships" r:embed="rId1"/>
        <a:stretch>
          <a:fillRect/>
        </a:stretch>
      </xdr:blipFill>
      <xdr:spPr>
        <a:xfrm>
          <a:off x="247650" y="30108525"/>
          <a:ext cx="2400300" cy="542925"/>
        </a:xfrm>
        <a:prstGeom prst="rect">
          <a:avLst/>
        </a:prstGeom>
      </xdr:spPr>
    </xdr:pic>
    <xdr:clientData/>
  </xdr:twoCellAnchor>
  <xdr:twoCellAnchor editAs="oneCell">
    <xdr:from>
      <xdr:col>1</xdr:col>
      <xdr:colOff>133350</xdr:colOff>
      <xdr:row>184</xdr:row>
      <xdr:rowOff>161925</xdr:rowOff>
    </xdr:from>
    <xdr:to>
      <xdr:col>2</xdr:col>
      <xdr:colOff>514350</xdr:colOff>
      <xdr:row>188</xdr:row>
      <xdr:rowOff>133350</xdr:rowOff>
    </xdr:to>
    <xdr:pic>
      <xdr:nvPicPr>
        <xdr:cNvPr id="6" name="Picture 5">
          <a:extLst>
            <a:ext uri="{FF2B5EF4-FFF2-40B4-BE49-F238E27FC236}">
              <a16:creationId xmlns:a16="http://schemas.microsoft.com/office/drawing/2014/main" id="{26B112C2-ED37-69C4-950D-D47DC50A3917}"/>
            </a:ext>
            <a:ext uri="{147F2762-F138-4A5C-976F-8EAC2B608ADB}">
              <a16:predDERef xmlns:a16="http://schemas.microsoft.com/office/drawing/2014/main" pred="{517725F9-E909-FA31-F4FC-16F38765B3A3}"/>
            </a:ext>
          </a:extLst>
        </xdr:cNvPr>
        <xdr:cNvPicPr>
          <a:picLocks noChangeAspect="1"/>
        </xdr:cNvPicPr>
      </xdr:nvPicPr>
      <xdr:blipFill>
        <a:blip xmlns:r="http://schemas.openxmlformats.org/officeDocument/2006/relationships" r:embed="rId2"/>
        <a:stretch>
          <a:fillRect/>
        </a:stretch>
      </xdr:blipFill>
      <xdr:spPr>
        <a:xfrm>
          <a:off x="381000" y="28355925"/>
          <a:ext cx="1495425" cy="733425"/>
        </a:xfrm>
        <a:prstGeom prst="rect">
          <a:avLst/>
        </a:prstGeom>
      </xdr:spPr>
    </xdr:pic>
    <xdr:clientData/>
  </xdr:twoCellAnchor>
  <xdr:twoCellAnchor editAs="oneCell">
    <xdr:from>
      <xdr:col>1</xdr:col>
      <xdr:colOff>0</xdr:colOff>
      <xdr:row>253</xdr:row>
      <xdr:rowOff>9525</xdr:rowOff>
    </xdr:from>
    <xdr:to>
      <xdr:col>2</xdr:col>
      <xdr:colOff>533400</xdr:colOff>
      <xdr:row>259</xdr:row>
      <xdr:rowOff>19050</xdr:rowOff>
    </xdr:to>
    <xdr:pic>
      <xdr:nvPicPr>
        <xdr:cNvPr id="7" name="Picture 6">
          <a:extLst>
            <a:ext uri="{FF2B5EF4-FFF2-40B4-BE49-F238E27FC236}">
              <a16:creationId xmlns:a16="http://schemas.microsoft.com/office/drawing/2014/main" id="{20796E51-9A10-7080-712D-AECAAD406CAF}"/>
            </a:ext>
            <a:ext uri="{147F2762-F138-4A5C-976F-8EAC2B608ADB}">
              <a16:predDERef xmlns:a16="http://schemas.microsoft.com/office/drawing/2014/main" pred="{26B112C2-ED37-69C4-950D-D47DC50A3917}"/>
            </a:ext>
          </a:extLst>
        </xdr:cNvPr>
        <xdr:cNvPicPr>
          <a:picLocks noChangeAspect="1"/>
        </xdr:cNvPicPr>
      </xdr:nvPicPr>
      <xdr:blipFill>
        <a:blip xmlns:r="http://schemas.openxmlformats.org/officeDocument/2006/relationships" r:embed="rId3"/>
        <a:stretch>
          <a:fillRect/>
        </a:stretch>
      </xdr:blipFill>
      <xdr:spPr>
        <a:xfrm>
          <a:off x="247650" y="40967025"/>
          <a:ext cx="1647825" cy="1152525"/>
        </a:xfrm>
        <a:prstGeom prst="rect">
          <a:avLst/>
        </a:prstGeom>
      </xdr:spPr>
    </xdr:pic>
    <xdr:clientData/>
  </xdr:twoCellAnchor>
  <xdr:twoCellAnchor editAs="oneCell">
    <xdr:from>
      <xdr:col>0</xdr:col>
      <xdr:colOff>228600</xdr:colOff>
      <xdr:row>331</xdr:row>
      <xdr:rowOff>161925</xdr:rowOff>
    </xdr:from>
    <xdr:to>
      <xdr:col>3</xdr:col>
      <xdr:colOff>390525</xdr:colOff>
      <xdr:row>337</xdr:row>
      <xdr:rowOff>95250</xdr:rowOff>
    </xdr:to>
    <xdr:pic>
      <xdr:nvPicPr>
        <xdr:cNvPr id="8" name="Picture 7">
          <a:extLst>
            <a:ext uri="{FF2B5EF4-FFF2-40B4-BE49-F238E27FC236}">
              <a16:creationId xmlns:a16="http://schemas.microsoft.com/office/drawing/2014/main" id="{B03500CA-554F-BAD5-3526-5C4766547A80}"/>
            </a:ext>
            <a:ext uri="{147F2762-F138-4A5C-976F-8EAC2B608ADB}">
              <a16:predDERef xmlns:a16="http://schemas.microsoft.com/office/drawing/2014/main" pred="{20796E51-9A10-7080-712D-AECAAD406CAF}"/>
            </a:ext>
          </a:extLst>
        </xdr:cNvPr>
        <xdr:cNvPicPr>
          <a:picLocks noChangeAspect="1"/>
        </xdr:cNvPicPr>
      </xdr:nvPicPr>
      <xdr:blipFill>
        <a:blip xmlns:r="http://schemas.openxmlformats.org/officeDocument/2006/relationships" r:embed="rId4"/>
        <a:stretch>
          <a:fillRect/>
        </a:stretch>
      </xdr:blipFill>
      <xdr:spPr>
        <a:xfrm>
          <a:off x="228600" y="58264425"/>
          <a:ext cx="2981325" cy="10763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42525E-6100-488D-AF52-9152A9763311}" name="Table1" displayName="Table1" ref="B7:J25" totalsRowShown="0" headerRowDxfId="2">
  <autoFilter ref="B7:J25" xr:uid="{E442525E-6100-488D-AF52-9152A9763311}"/>
  <sortState xmlns:xlrd2="http://schemas.microsoft.com/office/spreadsheetml/2017/richdata2" ref="B8:H25">
    <sortCondition ref="C7:C25"/>
  </sortState>
  <tableColumns count="9">
    <tableColumn id="1" xr3:uid="{0767D453-C67B-483B-BE1C-CF2CD6F5CEE5}" name="Car"/>
    <tableColumn id="2" xr3:uid="{6CF6B767-1BD7-4976-9180-E4000292094F}" name="Year"/>
    <tableColumn id="3" xr3:uid="{CFAD478E-4094-47E9-87EC-161074911CF2}" name="KM Driven"/>
    <tableColumn id="4" xr3:uid="{05B4DEE6-86F9-46D8-8B89-2F847AA55E4B}" name="Color"/>
    <tableColumn id="5" xr3:uid="{69E6DA8F-C16A-4CDA-9C94-1892A7F588FE}" name="Transimission"/>
    <tableColumn id="6" xr3:uid="{D6E81602-1566-4F04-91CF-739067DA4046}" name="Owner"/>
    <tableColumn id="7" xr3:uid="{93B27C8C-9A4C-4044-A593-5F7E9A3DA437}" name="Price (USD)"/>
    <tableColumn id="8" xr3:uid="{04FC6CF5-3FC9-46AD-80A7-5CAC0F58E3FA}" name="Manufacturer" dataDxfId="1">
      <calculatedColumnFormula array="1">INDEX(_xlfn.TEXTSPLIT(Table1[[#This Row],[Car]], " "), 1)</calculatedColumnFormula>
    </tableColumn>
    <tableColumn id="9" xr3:uid="{29D19131-5F9E-4F9D-8CEB-D3380FDEC220}" name="Country" dataDxfId="0">
      <calculatedColumnFormula>_xlfn.XLOOKUP(Table1[[#This Row],[Manufacturer]],'Manufacturing country'!$A$2:$A$9,'Manufacturing country'!$B$2:$B$9)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excel-practice-online.com/functions/vlookup-function/" TargetMode="External"/><Relationship Id="rId13" Type="http://schemas.openxmlformats.org/officeDocument/2006/relationships/hyperlink" Target="https://excel-practice-online.com/functions/averageif/" TargetMode="External"/><Relationship Id="rId3" Type="http://schemas.openxmlformats.org/officeDocument/2006/relationships/hyperlink" Target="https://excel-practice-online.com/functions/unique/" TargetMode="External"/><Relationship Id="rId7" Type="http://schemas.openxmlformats.org/officeDocument/2006/relationships/hyperlink" Target="https://excel-practice-online.com/functions/index-match/" TargetMode="External"/><Relationship Id="rId12" Type="http://schemas.openxmlformats.org/officeDocument/2006/relationships/hyperlink" Target="https://excel-practice-online.com/" TargetMode="External"/><Relationship Id="rId2" Type="http://schemas.openxmlformats.org/officeDocument/2006/relationships/hyperlink" Target="https://excel-practice-online.com/functions/find/" TargetMode="External"/><Relationship Id="rId1" Type="http://schemas.openxmlformats.org/officeDocument/2006/relationships/hyperlink" Target="https://excel-practice-online.com/functions/left-mid-right-text-functions/" TargetMode="External"/><Relationship Id="rId6" Type="http://schemas.openxmlformats.org/officeDocument/2006/relationships/hyperlink" Target="https://excel-practice-online.com/functions/xlookup/" TargetMode="External"/><Relationship Id="rId11" Type="http://schemas.openxmlformats.org/officeDocument/2006/relationships/hyperlink" Target="https://excel-practice-online.com/functions/value/" TargetMode="External"/><Relationship Id="rId5" Type="http://schemas.openxmlformats.org/officeDocument/2006/relationships/hyperlink" Target="https://excel-practice-online.com/functions/excel_basics/" TargetMode="External"/><Relationship Id="rId15" Type="http://schemas.openxmlformats.org/officeDocument/2006/relationships/drawing" Target="../drawings/drawing1.xml"/><Relationship Id="rId10" Type="http://schemas.openxmlformats.org/officeDocument/2006/relationships/hyperlink" Target="https://support.microsoft.com/en-us/office/substitute-function-6434944e-a904-4336-a9b0-1e58df3bc332" TargetMode="External"/><Relationship Id="rId4" Type="http://schemas.openxmlformats.org/officeDocument/2006/relationships/hyperlink" Target="https://excel-practice-online.com/functions/countif-function/" TargetMode="External"/><Relationship Id="rId9" Type="http://schemas.openxmlformats.org/officeDocument/2006/relationships/hyperlink" Target="https://excel-practice-online.com/functions/trim/" TargetMode="External"/><Relationship Id="rId14" Type="http://schemas.openxmlformats.org/officeDocument/2006/relationships/hyperlink" Target="https://excel-practice-online.com/tools/remove-duplic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
  <sheetViews>
    <sheetView tabSelected="1" workbookViewId="0">
      <selection activeCell="T13" sqref="T13"/>
    </sheetView>
  </sheetViews>
  <sheetFormatPr defaultRowHeight="14.5" x14ac:dyDescent="0.35"/>
  <cols>
    <col min="1" max="1" width="3.81640625" customWidth="1"/>
    <col min="2" max="2" width="16.453125" bestFit="1" customWidth="1"/>
    <col min="4" max="4" width="12.54296875" customWidth="1"/>
    <col min="6" max="6" width="14.453125" customWidth="1"/>
    <col min="7" max="7" width="10.54296875" bestFit="1" customWidth="1"/>
    <col min="8" max="8" width="15" customWidth="1"/>
    <col min="9" max="9" width="15" bestFit="1" customWidth="1"/>
    <col min="17" max="17" width="9.90625" bestFit="1" customWidth="1"/>
    <col min="18" max="18" width="10.453125" bestFit="1" customWidth="1"/>
  </cols>
  <sheetData>
    <row r="1" spans="1:18" x14ac:dyDescent="0.35">
      <c r="B1" s="1" t="s">
        <v>0</v>
      </c>
    </row>
    <row r="2" spans="1:18" x14ac:dyDescent="0.35">
      <c r="A2">
        <v>1</v>
      </c>
      <c r="B2" t="s">
        <v>1</v>
      </c>
      <c r="I2" s="2" t="str" cm="1">
        <f t="array" ref="I2">_xlfn.XLOOKUP(MAX(O8:O15),O8:O15,_xlfn.ANCHORARRAY(N8),,0)</f>
        <v>BMW</v>
      </c>
      <c r="K2" s="4"/>
    </row>
    <row r="3" spans="1:18" x14ac:dyDescent="0.35">
      <c r="A3">
        <v>2</v>
      </c>
      <c r="B3" t="s">
        <v>2</v>
      </c>
      <c r="I3" s="2" t="str" cm="1">
        <f t="array" ref="I3">_xlfn.XLOOKUP(MAX(R8:R12),R8:R12,_xlfn.ANCHORARRAY(Q8))</f>
        <v>Germany</v>
      </c>
    </row>
    <row r="4" spans="1:18" x14ac:dyDescent="0.35">
      <c r="A4">
        <v>3</v>
      </c>
      <c r="B4" t="s">
        <v>3</v>
      </c>
      <c r="I4" s="2" t="str" cm="1">
        <f t="array" ref="I4">_xlfn.XLOOKUP(MIN(O20:O24),O20:O24,_xlfn.ANCHORARRAY(N20))</f>
        <v>Yellow</v>
      </c>
    </row>
    <row r="5" spans="1:18" x14ac:dyDescent="0.35">
      <c r="A5">
        <v>4</v>
      </c>
      <c r="B5" t="s">
        <v>4</v>
      </c>
      <c r="I5" s="2"/>
    </row>
    <row r="7" spans="1:18" x14ac:dyDescent="0.35">
      <c r="B7" s="1" t="s">
        <v>5</v>
      </c>
      <c r="C7" s="1" t="s">
        <v>6</v>
      </c>
      <c r="D7" s="1" t="s">
        <v>7</v>
      </c>
      <c r="E7" s="1" t="s">
        <v>8</v>
      </c>
      <c r="F7" s="1" t="s">
        <v>9</v>
      </c>
      <c r="G7" s="1" t="s">
        <v>10</v>
      </c>
      <c r="H7" s="1" t="s">
        <v>11</v>
      </c>
      <c r="I7" s="1" t="s">
        <v>73</v>
      </c>
      <c r="J7" s="1" t="s">
        <v>56</v>
      </c>
    </row>
    <row r="8" spans="1:18" x14ac:dyDescent="0.35">
      <c r="B8" t="s">
        <v>35</v>
      </c>
      <c r="C8">
        <v>2011</v>
      </c>
      <c r="D8">
        <v>205204</v>
      </c>
      <c r="E8" t="s">
        <v>18</v>
      </c>
      <c r="F8" t="s">
        <v>14</v>
      </c>
      <c r="G8" t="s">
        <v>20</v>
      </c>
      <c r="H8" s="9">
        <v>13241</v>
      </c>
      <c r="I8" t="str" cm="1">
        <f t="array" ref="I8">INDEX(_xlfn.TEXTSPLIT(Table1[[#This Row],[Car]], " "), 1)</f>
        <v>BMW</v>
      </c>
      <c r="J8" t="str">
        <f>_xlfn.XLOOKUP(Table1[[#This Row],[Manufacturer]],'Manufacturing country'!$A$2:$A$9,'Manufacturing country'!$B$2:$B$9)</f>
        <v>Germany</v>
      </c>
      <c r="N8" t="str" cm="1">
        <f t="array" ref="N8:N15">_xlfn.UNIQUE(Table1[Manufacturer])</f>
        <v>BMW</v>
      </c>
      <c r="O8">
        <f>COUNTIF(Table1[Manufacturer],N8)</f>
        <v>7</v>
      </c>
      <c r="Q8" t="str" cm="1">
        <f t="array" ref="Q8:Q12">_xlfn.UNIQUE(Table1[Country])</f>
        <v>Germany</v>
      </c>
      <c r="R8">
        <f>COUNTIF(Table1[Country],Q8)</f>
        <v>11</v>
      </c>
    </row>
    <row r="9" spans="1:18" x14ac:dyDescent="0.35">
      <c r="B9" t="s">
        <v>12</v>
      </c>
      <c r="C9">
        <v>2012</v>
      </c>
      <c r="D9">
        <v>342358</v>
      </c>
      <c r="E9" t="s">
        <v>13</v>
      </c>
      <c r="F9" t="s">
        <v>14</v>
      </c>
      <c r="G9" t="s">
        <v>15</v>
      </c>
      <c r="H9" s="9">
        <v>15400</v>
      </c>
      <c r="I9" t="str" cm="1">
        <f t="array" ref="I9">INDEX(_xlfn.TEXTSPLIT(Table1[[#This Row],[Car]], " "), 1)</f>
        <v>BMW</v>
      </c>
      <c r="J9" t="str">
        <f>_xlfn.XLOOKUP(Table1[[#This Row],[Manufacturer]],'Manufacturing country'!$A$2:$A$9,'Manufacturing country'!$B$2:$B$9)</f>
        <v>Germany</v>
      </c>
      <c r="N9" t="str">
        <v>Volvo</v>
      </c>
      <c r="O9">
        <f>COUNTIF(Table1[Manufacturer],N9)</f>
        <v>1</v>
      </c>
      <c r="Q9" t="str">
        <v>Sweden</v>
      </c>
      <c r="R9">
        <f>COUNTIF(Table1[Country],Q9)</f>
        <v>1</v>
      </c>
    </row>
    <row r="10" spans="1:18" x14ac:dyDescent="0.35">
      <c r="B10" t="s">
        <v>41</v>
      </c>
      <c r="C10">
        <v>2013</v>
      </c>
      <c r="D10">
        <v>254028</v>
      </c>
      <c r="E10" t="s">
        <v>42</v>
      </c>
      <c r="F10" t="s">
        <v>19</v>
      </c>
      <c r="G10" t="s">
        <v>20</v>
      </c>
      <c r="H10" s="9">
        <v>17452</v>
      </c>
      <c r="I10" t="str" cm="1">
        <f t="array" ref="I10">INDEX(_xlfn.TEXTSPLIT(Table1[[#This Row],[Car]], " "), 1)</f>
        <v>Volvo</v>
      </c>
      <c r="J10" t="str">
        <f>_xlfn.XLOOKUP(Table1[[#This Row],[Manufacturer]],'Manufacturing country'!$A$2:$A$9,'Manufacturing country'!$B$2:$B$9)</f>
        <v>Sweden</v>
      </c>
      <c r="N10" t="str">
        <v>Jaguar</v>
      </c>
      <c r="O10">
        <f>COUNTIF(Table1[Manufacturer],N10)</f>
        <v>1</v>
      </c>
      <c r="Q10" t="str">
        <v>UK</v>
      </c>
      <c r="R10">
        <f>COUNTIF(Table1[Country],Q10)</f>
        <v>1</v>
      </c>
    </row>
    <row r="11" spans="1:18" x14ac:dyDescent="0.35">
      <c r="B11" t="s">
        <v>48</v>
      </c>
      <c r="C11">
        <v>2013</v>
      </c>
      <c r="D11">
        <v>85320</v>
      </c>
      <c r="E11" t="s">
        <v>13</v>
      </c>
      <c r="F11" t="s">
        <v>14</v>
      </c>
      <c r="G11" t="s">
        <v>20</v>
      </c>
      <c r="H11" s="9">
        <v>18454</v>
      </c>
      <c r="I11" t="str" cm="1">
        <f t="array" ref="I11">INDEX(_xlfn.TEXTSPLIT(Table1[[#This Row],[Car]], " "), 1)</f>
        <v>Jaguar</v>
      </c>
      <c r="J11" t="str">
        <f>_xlfn.XLOOKUP(Table1[[#This Row],[Manufacturer]],'Manufacturing country'!$A$2:$A$9,'Manufacturing country'!$B$2:$B$9)</f>
        <v>UK</v>
      </c>
      <c r="N11" t="str">
        <v>Mercedes</v>
      </c>
      <c r="O11">
        <f>COUNTIF(Table1[Manufacturer],N11)</f>
        <v>2</v>
      </c>
      <c r="Q11" t="str">
        <v>Japan</v>
      </c>
      <c r="R11">
        <f>COUNTIF(Table1[Country],Q11)</f>
        <v>3</v>
      </c>
    </row>
    <row r="12" spans="1:18" x14ac:dyDescent="0.35">
      <c r="B12" t="s">
        <v>22</v>
      </c>
      <c r="C12">
        <v>2014</v>
      </c>
      <c r="D12">
        <v>152985</v>
      </c>
      <c r="E12" t="s">
        <v>23</v>
      </c>
      <c r="F12" t="s">
        <v>14</v>
      </c>
      <c r="G12" t="s">
        <v>20</v>
      </c>
      <c r="H12" s="9">
        <v>49344</v>
      </c>
      <c r="I12" t="str" cm="1">
        <f t="array" ref="I12">INDEX(_xlfn.TEXTSPLIT(Table1[[#This Row],[Car]], " "), 1)</f>
        <v>Mercedes</v>
      </c>
      <c r="J12" t="str">
        <f>_xlfn.XLOOKUP(Table1[[#This Row],[Manufacturer]],'Manufacturing country'!$A$2:$A$9,'Manufacturing country'!$B$2:$B$9)</f>
        <v>Germany</v>
      </c>
      <c r="N12" t="str">
        <v>Audi</v>
      </c>
      <c r="O12">
        <f>COUNTIF(Table1[Manufacturer],N12)</f>
        <v>2</v>
      </c>
      <c r="Q12" t="str">
        <v>USA</v>
      </c>
      <c r="R12">
        <f>COUNTIF(Table1[Country],Q12)</f>
        <v>2</v>
      </c>
    </row>
    <row r="13" spans="1:18" x14ac:dyDescent="0.35">
      <c r="B13" t="s">
        <v>44</v>
      </c>
      <c r="C13">
        <v>2014</v>
      </c>
      <c r="D13">
        <v>45832</v>
      </c>
      <c r="E13" t="s">
        <v>13</v>
      </c>
      <c r="F13" t="s">
        <v>19</v>
      </c>
      <c r="G13" t="s">
        <v>15</v>
      </c>
      <c r="H13" s="9">
        <v>23250</v>
      </c>
      <c r="I13" t="str" cm="1">
        <f t="array" ref="I13">INDEX(_xlfn.TEXTSPLIT(Table1[[#This Row],[Car]], " "), 1)</f>
        <v>Audi</v>
      </c>
      <c r="J13" t="str">
        <f>_xlfn.XLOOKUP(Table1[[#This Row],[Manufacturer]],'Manufacturing country'!$A$2:$A$9,'Manufacturing country'!$B$2:$B$9)</f>
        <v>Germany</v>
      </c>
      <c r="N13" t="str">
        <v>Lexus</v>
      </c>
      <c r="O13">
        <f>COUNTIF(Table1[Manufacturer],N13)</f>
        <v>3</v>
      </c>
    </row>
    <row r="14" spans="1:18" x14ac:dyDescent="0.35">
      <c r="B14" t="s">
        <v>29</v>
      </c>
      <c r="C14">
        <v>2015</v>
      </c>
      <c r="D14">
        <v>130000</v>
      </c>
      <c r="E14" t="s">
        <v>23</v>
      </c>
      <c r="F14" t="s">
        <v>14</v>
      </c>
      <c r="G14" t="s">
        <v>53</v>
      </c>
      <c r="H14" s="9">
        <v>22520</v>
      </c>
      <c r="I14" t="str" cm="1">
        <f t="array" ref="I14">INDEX(_xlfn.TEXTSPLIT(Table1[[#This Row],[Car]], " "), 1)</f>
        <v>Lexus</v>
      </c>
      <c r="J14" t="str">
        <f>_xlfn.XLOOKUP(Table1[[#This Row],[Manufacturer]],'Manufacturing country'!$A$2:$A$9,'Manufacturing country'!$B$2:$B$9)</f>
        <v>Japan</v>
      </c>
      <c r="N14" t="str">
        <v>Tesla</v>
      </c>
      <c r="O14">
        <f>COUNTIF(Table1[Manufacturer],N14)</f>
        <v>1</v>
      </c>
    </row>
    <row r="15" spans="1:18" x14ac:dyDescent="0.35">
      <c r="B15" t="s">
        <v>29</v>
      </c>
      <c r="C15">
        <v>2016</v>
      </c>
      <c r="D15">
        <v>5000</v>
      </c>
      <c r="E15" t="s">
        <v>13</v>
      </c>
      <c r="F15" t="s">
        <v>14</v>
      </c>
      <c r="G15" t="s">
        <v>15</v>
      </c>
      <c r="H15" s="9">
        <v>41000</v>
      </c>
      <c r="I15" t="str" cm="1">
        <f t="array" ref="I15">INDEX(_xlfn.TEXTSPLIT(Table1[[#This Row],[Car]], " "), 1)</f>
        <v>Lexus</v>
      </c>
      <c r="J15" t="str">
        <f>_xlfn.XLOOKUP(Table1[[#This Row],[Manufacturer]],'Manufacturing country'!$A$2:$A$9,'Manufacturing country'!$B$2:$B$9)</f>
        <v>Japan</v>
      </c>
      <c r="N15" t="str">
        <v>Cadillac</v>
      </c>
      <c r="O15">
        <f>COUNTIF(Table1[Manufacturer],N15)</f>
        <v>1</v>
      </c>
    </row>
    <row r="16" spans="1:18" x14ac:dyDescent="0.35">
      <c r="B16" t="s">
        <v>17</v>
      </c>
      <c r="C16">
        <v>2017</v>
      </c>
      <c r="D16">
        <v>130000</v>
      </c>
      <c r="E16" t="s">
        <v>18</v>
      </c>
      <c r="F16" t="s">
        <v>19</v>
      </c>
      <c r="G16" t="s">
        <v>20</v>
      </c>
      <c r="H16" s="9">
        <v>24321</v>
      </c>
      <c r="I16" t="str" cm="1">
        <f t="array" ref="I16">INDEX(_xlfn.TEXTSPLIT(Table1[[#This Row],[Car]], " "), 1)</f>
        <v>Audi</v>
      </c>
      <c r="J16" t="str">
        <f>_xlfn.XLOOKUP(Table1[[#This Row],[Manufacturer]],'Manufacturing country'!$A$2:$A$9,'Manufacturing country'!$B$2:$B$9)</f>
        <v>Germany</v>
      </c>
    </row>
    <row r="17" spans="2:18" x14ac:dyDescent="0.35">
      <c r="B17" t="s">
        <v>51</v>
      </c>
      <c r="C17">
        <v>2017</v>
      </c>
      <c r="D17">
        <v>92450</v>
      </c>
      <c r="E17" t="s">
        <v>18</v>
      </c>
      <c r="F17" t="s">
        <v>19</v>
      </c>
      <c r="G17" t="s">
        <v>20</v>
      </c>
      <c r="H17" s="9">
        <v>35240</v>
      </c>
      <c r="I17" t="str" cm="1">
        <f t="array" ref="I17">INDEX(_xlfn.TEXTSPLIT(Table1[[#This Row],[Car]], " "), 1)</f>
        <v>BMW</v>
      </c>
      <c r="J17" t="str">
        <f>_xlfn.XLOOKUP(Table1[[#This Row],[Manufacturer]],'Manufacturing country'!$A$2:$A$9,'Manufacturing country'!$B$2:$B$9)</f>
        <v>Germany</v>
      </c>
    </row>
    <row r="18" spans="2:18" x14ac:dyDescent="0.35">
      <c r="B18" t="s">
        <v>27</v>
      </c>
      <c r="C18">
        <v>2018</v>
      </c>
      <c r="D18">
        <v>156784</v>
      </c>
      <c r="E18" t="s">
        <v>31</v>
      </c>
      <c r="F18" t="s">
        <v>19</v>
      </c>
      <c r="G18" t="s">
        <v>24</v>
      </c>
      <c r="H18" s="9">
        <v>37605</v>
      </c>
      <c r="I18" t="str" cm="1">
        <f t="array" ref="I18">INDEX(_xlfn.TEXTSPLIT(Table1[[#This Row],[Car]], " "), 1)</f>
        <v>BMW</v>
      </c>
      <c r="J18" t="str">
        <f>_xlfn.XLOOKUP(Table1[[#This Row],[Manufacturer]],'Manufacturing country'!$A$2:$A$9,'Manufacturing country'!$B$2:$B$9)</f>
        <v>Germany</v>
      </c>
      <c r="Q18" s="10" t="s">
        <v>135</v>
      </c>
    </row>
    <row r="19" spans="2:18" x14ac:dyDescent="0.35">
      <c r="B19" t="s">
        <v>38</v>
      </c>
      <c r="C19">
        <v>2018</v>
      </c>
      <c r="D19">
        <v>76429</v>
      </c>
      <c r="E19" t="s">
        <v>39</v>
      </c>
      <c r="F19" t="s">
        <v>14</v>
      </c>
      <c r="G19" t="s">
        <v>15</v>
      </c>
      <c r="H19" s="9">
        <v>52432</v>
      </c>
      <c r="I19" t="str" cm="1">
        <f t="array" ref="I19">INDEX(_xlfn.TEXTSPLIT(Table1[[#This Row],[Car]], " "), 1)</f>
        <v>Tesla</v>
      </c>
      <c r="J19" t="str">
        <f>_xlfn.XLOOKUP(Table1[[#This Row],[Manufacturer]],'Manufacturing country'!$A$2:$A$9,'Manufacturing country'!$B$2:$B$9)</f>
        <v>USA</v>
      </c>
      <c r="Q19" s="2" t="str" cm="1">
        <f t="array" ref="Q19:Q22">_xlfn.UNIQUE(Table1[Owner])</f>
        <v>2nd owner</v>
      </c>
      <c r="R19" s="11">
        <f>AVERAGEIF(Table1[Owner],Q19,Table1[Price (USD)])</f>
        <v>30718</v>
      </c>
    </row>
    <row r="20" spans="2:18" x14ac:dyDescent="0.35">
      <c r="B20" t="s">
        <v>46</v>
      </c>
      <c r="C20">
        <v>2018</v>
      </c>
      <c r="D20">
        <v>67591</v>
      </c>
      <c r="E20" t="s">
        <v>31</v>
      </c>
      <c r="F20" t="s">
        <v>14</v>
      </c>
      <c r="G20" t="s">
        <v>20</v>
      </c>
      <c r="H20" s="9">
        <v>32420</v>
      </c>
      <c r="I20" t="str" cm="1">
        <f t="array" ref="I20">INDEX(_xlfn.TEXTSPLIT(Table1[[#This Row],[Car]], " "), 1)</f>
        <v>Cadillac</v>
      </c>
      <c r="J20" t="str">
        <f>_xlfn.XLOOKUP(Table1[[#This Row],[Manufacturer]],'Manufacturing country'!$A$2:$A$9,'Manufacturing country'!$B$2:$B$9)</f>
        <v>USA</v>
      </c>
      <c r="N20" t="str" cm="1">
        <f t="array" ref="N20:N24">_xlfn.UNIQUE(TRIM(Table1[Color]))</f>
        <v>Red</v>
      </c>
      <c r="O20" cm="1">
        <f t="array" ref="O20">SUMPRODUCT(--(TRIM(Table1[Color])=N20))</f>
        <v>4</v>
      </c>
      <c r="Q20" s="2" t="str">
        <v>1st owner</v>
      </c>
      <c r="R20" s="11">
        <f>AVERAGEIF(Table1[Owner],Q20,Table1[Price (USD)])</f>
        <v>36513.666666666664</v>
      </c>
    </row>
    <row r="21" spans="2:18" x14ac:dyDescent="0.35">
      <c r="B21" t="s">
        <v>12</v>
      </c>
      <c r="C21">
        <v>2019</v>
      </c>
      <c r="D21">
        <v>52034</v>
      </c>
      <c r="E21" t="s">
        <v>33</v>
      </c>
      <c r="F21" t="s">
        <v>14</v>
      </c>
      <c r="G21" t="s">
        <v>15</v>
      </c>
      <c r="H21" s="9">
        <v>45000</v>
      </c>
      <c r="I21" t="str" cm="1">
        <f t="array" ref="I21">INDEX(_xlfn.TEXTSPLIT(Table1[[#This Row],[Car]], " "), 1)</f>
        <v>BMW</v>
      </c>
      <c r="J21" t="str">
        <f>_xlfn.XLOOKUP(Table1[[#This Row],[Manufacturer]],'Manufacturing country'!$A$2:$A$9,'Manufacturing country'!$B$2:$B$9)</f>
        <v>Germany</v>
      </c>
      <c r="N21" t="str">
        <v>White</v>
      </c>
      <c r="O21" cm="1">
        <f t="array" ref="O21">SUMPRODUCT(--(TRIM(Table1[Color])=N21))</f>
        <v>6</v>
      </c>
      <c r="Q21" s="2" t="str">
        <v>4th owner</v>
      </c>
      <c r="R21" s="11">
        <f>AVERAGEIF(Table1[Owner],Q21,Table1[Price (USD)])</f>
        <v>22520</v>
      </c>
    </row>
    <row r="22" spans="2:18" x14ac:dyDescent="0.35">
      <c r="B22" t="s">
        <v>22</v>
      </c>
      <c r="C22">
        <v>2020</v>
      </c>
      <c r="D22">
        <v>92450</v>
      </c>
      <c r="E22" t="s">
        <v>23</v>
      </c>
      <c r="F22" t="s">
        <v>14</v>
      </c>
      <c r="G22" t="s">
        <v>24</v>
      </c>
      <c r="H22" s="9">
        <v>102342</v>
      </c>
      <c r="I22" t="str" cm="1">
        <f t="array" ref="I22">INDEX(_xlfn.TEXTSPLIT(Table1[[#This Row],[Car]], " "), 1)</f>
        <v>Mercedes</v>
      </c>
      <c r="J22" t="str">
        <f>_xlfn.XLOOKUP(Table1[[#This Row],[Manufacturer]],'Manufacturing country'!$A$2:$A$9,'Manufacturing country'!$B$2:$B$9)</f>
        <v>Germany</v>
      </c>
      <c r="N22" t="str">
        <v>Black</v>
      </c>
      <c r="O22" cm="1">
        <f t="array" ref="O22">SUMPRODUCT(--(TRIM(Table1[Color])=N22))</f>
        <v>4</v>
      </c>
      <c r="Q22" s="2" t="str">
        <v>3rd owner</v>
      </c>
      <c r="R22" s="11">
        <f>AVERAGEIF(Table1[Owner],Q22,Table1[Price (USD)])</f>
        <v>63746.333333333336</v>
      </c>
    </row>
    <row r="23" spans="2:18" x14ac:dyDescent="0.35">
      <c r="B23" t="s">
        <v>12</v>
      </c>
      <c r="C23">
        <v>2020</v>
      </c>
      <c r="D23">
        <v>76240</v>
      </c>
      <c r="E23" t="s">
        <v>13</v>
      </c>
      <c r="F23" t="s">
        <v>14</v>
      </c>
      <c r="G23" t="s">
        <v>20</v>
      </c>
      <c r="H23" s="9">
        <v>55272</v>
      </c>
      <c r="I23" t="str" cm="1">
        <f t="array" ref="I23">INDEX(_xlfn.TEXTSPLIT(Table1[[#This Row],[Car]], " "), 1)</f>
        <v>BMW</v>
      </c>
      <c r="J23" t="str">
        <f>_xlfn.XLOOKUP(Table1[[#This Row],[Manufacturer]],'Manufacturing country'!$A$2:$A$9,'Manufacturing country'!$B$2:$B$9)</f>
        <v>Germany</v>
      </c>
      <c r="N23" t="str">
        <v>Blue</v>
      </c>
      <c r="O23" cm="1">
        <f t="array" ref="O23">SUMPRODUCT(--(TRIM(Table1[Color])=N23))</f>
        <v>3</v>
      </c>
    </row>
    <row r="24" spans="2:18" x14ac:dyDescent="0.35">
      <c r="B24" t="s">
        <v>29</v>
      </c>
      <c r="C24">
        <v>2020</v>
      </c>
      <c r="D24">
        <v>98312</v>
      </c>
      <c r="E24" t="s">
        <v>18</v>
      </c>
      <c r="F24" t="s">
        <v>14</v>
      </c>
      <c r="G24" t="s">
        <v>24</v>
      </c>
      <c r="H24" s="9">
        <v>51292</v>
      </c>
      <c r="I24" t="str" cm="1">
        <f t="array" ref="I24">INDEX(_xlfn.TEXTSPLIT(Table1[[#This Row],[Car]], " "), 1)</f>
        <v>Lexus</v>
      </c>
      <c r="J24" t="str">
        <f>_xlfn.XLOOKUP(Table1[[#This Row],[Manufacturer]],'Manufacturing country'!$A$2:$A$9,'Manufacturing country'!$B$2:$B$9)</f>
        <v>Japan</v>
      </c>
      <c r="N24" t="str">
        <v>Yellow</v>
      </c>
      <c r="O24" cm="1">
        <f t="array" ref="O24">SUMPRODUCT(--(TRIM(Table1[Color])=N24))</f>
        <v>1</v>
      </c>
    </row>
    <row r="25" spans="2:18" x14ac:dyDescent="0.35">
      <c r="B25" t="s">
        <v>27</v>
      </c>
      <c r="C25">
        <v>2021</v>
      </c>
      <c r="D25">
        <v>17283</v>
      </c>
      <c r="E25" t="s">
        <v>13</v>
      </c>
      <c r="F25" t="s">
        <v>19</v>
      </c>
      <c r="G25" t="s">
        <v>15</v>
      </c>
      <c r="H25" s="9">
        <v>42000</v>
      </c>
      <c r="I25" t="str" cm="1">
        <f t="array" ref="I25">INDEX(_xlfn.TEXTSPLIT(Table1[[#This Row],[Car]], " "), 1)</f>
        <v>BMW</v>
      </c>
      <c r="J25" t="str">
        <f>_xlfn.XLOOKUP(Table1[[#This Row],[Manufacturer]],'Manufacturing country'!$A$2:$A$9,'Manufacturing country'!$B$2:$B$9)</f>
        <v>Germany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95B93-987E-48A6-B5B5-63BA0A3C8A2E}">
  <dimension ref="A1:B9"/>
  <sheetViews>
    <sheetView workbookViewId="0">
      <selection activeCell="A15" sqref="A15"/>
    </sheetView>
  </sheetViews>
  <sheetFormatPr defaultRowHeight="14.5" x14ac:dyDescent="0.35"/>
  <sheetData>
    <row r="1" spans="1:2" x14ac:dyDescent="0.35">
      <c r="A1" s="1" t="s">
        <v>55</v>
      </c>
      <c r="B1" s="1" t="s">
        <v>56</v>
      </c>
    </row>
    <row r="2" spans="1:2" x14ac:dyDescent="0.35">
      <c r="A2" t="s">
        <v>57</v>
      </c>
      <c r="B2" t="s">
        <v>58</v>
      </c>
    </row>
    <row r="3" spans="1:2" x14ac:dyDescent="0.35">
      <c r="A3" t="s">
        <v>59</v>
      </c>
      <c r="B3" t="s">
        <v>58</v>
      </c>
    </row>
    <row r="4" spans="1:2" x14ac:dyDescent="0.35">
      <c r="A4" t="s">
        <v>60</v>
      </c>
      <c r="B4" t="s">
        <v>61</v>
      </c>
    </row>
    <row r="5" spans="1:2" x14ac:dyDescent="0.35">
      <c r="A5" t="s">
        <v>62</v>
      </c>
      <c r="B5" t="s">
        <v>63</v>
      </c>
    </row>
    <row r="6" spans="1:2" x14ac:dyDescent="0.35">
      <c r="A6" t="s">
        <v>64</v>
      </c>
      <c r="B6" t="s">
        <v>58</v>
      </c>
    </row>
    <row r="7" spans="1:2" x14ac:dyDescent="0.35">
      <c r="A7" t="s">
        <v>65</v>
      </c>
      <c r="B7" t="s">
        <v>66</v>
      </c>
    </row>
    <row r="8" spans="1:2" x14ac:dyDescent="0.35">
      <c r="A8" t="s">
        <v>67</v>
      </c>
      <c r="B8" t="s">
        <v>61</v>
      </c>
    </row>
    <row r="9" spans="1:2" x14ac:dyDescent="0.35">
      <c r="A9" t="s">
        <v>68</v>
      </c>
      <c r="B9"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B4243-8622-41FD-9662-7B046956A8C8}">
  <dimension ref="A1:K341"/>
  <sheetViews>
    <sheetView topLeftCell="A310" workbookViewId="0">
      <selection activeCell="F176" sqref="F176"/>
    </sheetView>
  </sheetViews>
  <sheetFormatPr defaultRowHeight="14.5" x14ac:dyDescent="0.35"/>
  <cols>
    <col min="1" max="1" width="3.7265625" customWidth="1"/>
    <col min="2" max="2" width="16.7265625" customWidth="1"/>
    <col min="3" max="3" width="21.81640625" bestFit="1" customWidth="1"/>
    <col min="7" max="7" width="10.54296875" bestFit="1" customWidth="1"/>
    <col min="8" max="8" width="10.81640625" bestFit="1" customWidth="1"/>
    <col min="9" max="9" width="13.453125" bestFit="1" customWidth="1"/>
  </cols>
  <sheetData>
    <row r="1" spans="2:8" s="1" customFormat="1" x14ac:dyDescent="0.35">
      <c r="B1" s="1" t="s">
        <v>5</v>
      </c>
      <c r="C1" s="1" t="s">
        <v>6</v>
      </c>
      <c r="D1" s="1" t="s">
        <v>7</v>
      </c>
      <c r="E1" s="1" t="s">
        <v>8</v>
      </c>
      <c r="F1" s="1" t="s">
        <v>9</v>
      </c>
      <c r="G1" s="1" t="s">
        <v>10</v>
      </c>
      <c r="H1" s="1" t="s">
        <v>11</v>
      </c>
    </row>
    <row r="2" spans="2:8" x14ac:dyDescent="0.35">
      <c r="B2" t="s">
        <v>12</v>
      </c>
      <c r="C2">
        <v>2012</v>
      </c>
      <c r="D2">
        <v>342358</v>
      </c>
      <c r="E2" t="s">
        <v>13</v>
      </c>
      <c r="F2" t="s">
        <v>14</v>
      </c>
      <c r="G2" t="s">
        <v>15</v>
      </c>
      <c r="H2" t="s">
        <v>16</v>
      </c>
    </row>
    <row r="3" spans="2:8" x14ac:dyDescent="0.35">
      <c r="B3" t="s">
        <v>17</v>
      </c>
      <c r="C3">
        <v>2017</v>
      </c>
      <c r="D3">
        <v>130000</v>
      </c>
      <c r="E3" t="s">
        <v>18</v>
      </c>
      <c r="F3" t="s">
        <v>19</v>
      </c>
      <c r="G3" t="s">
        <v>20</v>
      </c>
      <c r="H3" t="s">
        <v>21</v>
      </c>
    </row>
    <row r="4" spans="2:8" x14ac:dyDescent="0.35">
      <c r="B4" t="s">
        <v>22</v>
      </c>
      <c r="C4">
        <v>2020</v>
      </c>
      <c r="D4">
        <v>92450</v>
      </c>
      <c r="E4" t="s">
        <v>23</v>
      </c>
      <c r="F4" t="s">
        <v>14</v>
      </c>
      <c r="G4" t="s">
        <v>24</v>
      </c>
      <c r="H4" t="s">
        <v>25</v>
      </c>
    </row>
    <row r="5" spans="2:8" x14ac:dyDescent="0.35">
      <c r="B5" t="s">
        <v>12</v>
      </c>
      <c r="C5">
        <v>2020</v>
      </c>
      <c r="D5">
        <v>76240</v>
      </c>
      <c r="E5" t="s">
        <v>13</v>
      </c>
      <c r="F5" t="s">
        <v>14</v>
      </c>
      <c r="G5" t="s">
        <v>20</v>
      </c>
      <c r="H5" t="s">
        <v>26</v>
      </c>
    </row>
    <row r="6" spans="2:8" x14ac:dyDescent="0.35">
      <c r="B6" t="s">
        <v>27</v>
      </c>
      <c r="C6">
        <v>2021</v>
      </c>
      <c r="D6">
        <v>17283</v>
      </c>
      <c r="E6" t="s">
        <v>13</v>
      </c>
      <c r="F6" t="s">
        <v>19</v>
      </c>
      <c r="G6" t="s">
        <v>15</v>
      </c>
      <c r="H6" t="s">
        <v>28</v>
      </c>
    </row>
    <row r="7" spans="2:8" x14ac:dyDescent="0.35">
      <c r="B7" t="s">
        <v>29</v>
      </c>
      <c r="C7">
        <v>2020</v>
      </c>
      <c r="D7">
        <v>98312</v>
      </c>
      <c r="E7" t="s">
        <v>18</v>
      </c>
      <c r="F7" t="s">
        <v>14</v>
      </c>
      <c r="G7" t="s">
        <v>24</v>
      </c>
      <c r="H7" t="s">
        <v>30</v>
      </c>
    </row>
    <row r="8" spans="2:8" x14ac:dyDescent="0.35">
      <c r="B8" t="s">
        <v>27</v>
      </c>
      <c r="C8">
        <v>2018</v>
      </c>
      <c r="D8">
        <v>156784</v>
      </c>
      <c r="E8" t="s">
        <v>31</v>
      </c>
      <c r="F8" t="s">
        <v>19</v>
      </c>
      <c r="G8" t="s">
        <v>24</v>
      </c>
      <c r="H8" t="s">
        <v>32</v>
      </c>
    </row>
    <row r="9" spans="2:8" x14ac:dyDescent="0.35">
      <c r="B9" t="s">
        <v>12</v>
      </c>
      <c r="C9">
        <v>2019</v>
      </c>
      <c r="D9">
        <v>52034</v>
      </c>
      <c r="E9" t="s">
        <v>33</v>
      </c>
      <c r="F9" t="s">
        <v>14</v>
      </c>
      <c r="G9" t="s">
        <v>15</v>
      </c>
      <c r="H9" t="s">
        <v>34</v>
      </c>
    </row>
    <row r="10" spans="2:8" x14ac:dyDescent="0.35">
      <c r="B10" t="s">
        <v>35</v>
      </c>
      <c r="C10">
        <v>2011</v>
      </c>
      <c r="D10">
        <v>205204</v>
      </c>
      <c r="E10" t="s">
        <v>18</v>
      </c>
      <c r="F10" t="s">
        <v>14</v>
      </c>
      <c r="G10" t="s">
        <v>20</v>
      </c>
      <c r="H10" t="s">
        <v>36</v>
      </c>
    </row>
    <row r="11" spans="2:8" x14ac:dyDescent="0.35">
      <c r="B11" t="s">
        <v>22</v>
      </c>
      <c r="C11">
        <v>2014</v>
      </c>
      <c r="D11">
        <v>152985</v>
      </c>
      <c r="E11" t="s">
        <v>23</v>
      </c>
      <c r="F11" t="s">
        <v>14</v>
      </c>
      <c r="G11" t="s">
        <v>20</v>
      </c>
      <c r="H11" t="s">
        <v>37</v>
      </c>
    </row>
    <row r="12" spans="2:8" x14ac:dyDescent="0.35">
      <c r="B12" t="s">
        <v>38</v>
      </c>
      <c r="C12">
        <v>2018</v>
      </c>
      <c r="D12">
        <v>76429</v>
      </c>
      <c r="E12" t="s">
        <v>39</v>
      </c>
      <c r="F12" t="s">
        <v>14</v>
      </c>
      <c r="G12" t="s">
        <v>15</v>
      </c>
      <c r="H12" t="s">
        <v>40</v>
      </c>
    </row>
    <row r="13" spans="2:8" x14ac:dyDescent="0.35">
      <c r="B13" t="s">
        <v>41</v>
      </c>
      <c r="C13">
        <v>2013</v>
      </c>
      <c r="D13">
        <v>254028</v>
      </c>
      <c r="E13" t="s">
        <v>42</v>
      </c>
      <c r="F13" t="s">
        <v>19</v>
      </c>
      <c r="G13" t="s">
        <v>20</v>
      </c>
      <c r="H13" t="s">
        <v>43</v>
      </c>
    </row>
    <row r="14" spans="2:8" x14ac:dyDescent="0.35">
      <c r="B14" t="s">
        <v>44</v>
      </c>
      <c r="C14">
        <v>2014</v>
      </c>
      <c r="D14">
        <v>45832</v>
      </c>
      <c r="E14" t="s">
        <v>13</v>
      </c>
      <c r="F14" t="s">
        <v>19</v>
      </c>
      <c r="G14" t="s">
        <v>15</v>
      </c>
      <c r="H14" t="s">
        <v>45</v>
      </c>
    </row>
    <row r="15" spans="2:8" x14ac:dyDescent="0.35">
      <c r="B15" t="s">
        <v>46</v>
      </c>
      <c r="C15">
        <v>2018</v>
      </c>
      <c r="D15">
        <v>67591</v>
      </c>
      <c r="E15" t="s">
        <v>31</v>
      </c>
      <c r="F15" t="s">
        <v>14</v>
      </c>
      <c r="G15" t="s">
        <v>20</v>
      </c>
      <c r="H15" t="s">
        <v>47</v>
      </c>
    </row>
    <row r="16" spans="2:8" x14ac:dyDescent="0.35">
      <c r="B16" t="s">
        <v>48</v>
      </c>
      <c r="C16">
        <v>2013</v>
      </c>
      <c r="D16">
        <v>85320</v>
      </c>
      <c r="E16" t="s">
        <v>13</v>
      </c>
      <c r="F16" t="s">
        <v>14</v>
      </c>
      <c r="G16" t="s">
        <v>20</v>
      </c>
      <c r="H16" t="s">
        <v>49</v>
      </c>
    </row>
    <row r="17" spans="1:10" x14ac:dyDescent="0.35">
      <c r="B17" t="s">
        <v>29</v>
      </c>
      <c r="C17">
        <v>2016</v>
      </c>
      <c r="D17">
        <v>5000</v>
      </c>
      <c r="E17" t="s">
        <v>13</v>
      </c>
      <c r="F17" t="s">
        <v>14</v>
      </c>
      <c r="G17" t="s">
        <v>15</v>
      </c>
      <c r="H17" t="s">
        <v>50</v>
      </c>
    </row>
    <row r="18" spans="1:10" x14ac:dyDescent="0.35">
      <c r="B18" t="s">
        <v>51</v>
      </c>
      <c r="C18">
        <v>2017</v>
      </c>
      <c r="D18">
        <v>92450</v>
      </c>
      <c r="E18" t="s">
        <v>18</v>
      </c>
      <c r="F18" t="s">
        <v>19</v>
      </c>
      <c r="G18" t="s">
        <v>20</v>
      </c>
      <c r="H18" t="s">
        <v>52</v>
      </c>
    </row>
    <row r="19" spans="1:10" x14ac:dyDescent="0.35">
      <c r="B19" t="s">
        <v>29</v>
      </c>
      <c r="C19">
        <v>2015</v>
      </c>
      <c r="D19">
        <v>130000</v>
      </c>
      <c r="E19" t="s">
        <v>23</v>
      </c>
      <c r="F19" t="s">
        <v>14</v>
      </c>
      <c r="G19" t="s">
        <v>53</v>
      </c>
      <c r="H19" t="s">
        <v>54</v>
      </c>
    </row>
    <row r="21" spans="1:10" x14ac:dyDescent="0.35">
      <c r="B21" t="s">
        <v>0</v>
      </c>
    </row>
    <row r="22" spans="1:10" x14ac:dyDescent="0.35">
      <c r="A22">
        <v>1</v>
      </c>
      <c r="B22" t="s">
        <v>1</v>
      </c>
    </row>
    <row r="24" spans="1:10" x14ac:dyDescent="0.35">
      <c r="B24" s="1" t="s">
        <v>70</v>
      </c>
    </row>
    <row r="25" spans="1:10" x14ac:dyDescent="0.35">
      <c r="B25" t="s">
        <v>71</v>
      </c>
    </row>
    <row r="26" spans="1:10" x14ac:dyDescent="0.35">
      <c r="B26" t="s">
        <v>72</v>
      </c>
    </row>
    <row r="28" spans="1:10" s="1" customFormat="1" x14ac:dyDescent="0.35">
      <c r="B28" s="1" t="s">
        <v>5</v>
      </c>
      <c r="C28" s="1" t="s">
        <v>6</v>
      </c>
      <c r="D28" s="1" t="s">
        <v>7</v>
      </c>
      <c r="E28" s="1" t="s">
        <v>8</v>
      </c>
      <c r="F28" s="1" t="s">
        <v>9</v>
      </c>
      <c r="G28" s="1" t="s">
        <v>10</v>
      </c>
      <c r="H28" s="1" t="s">
        <v>11</v>
      </c>
      <c r="I28" s="1" t="s">
        <v>73</v>
      </c>
    </row>
    <row r="29" spans="1:10" x14ac:dyDescent="0.35">
      <c r="B29" t="s">
        <v>12</v>
      </c>
      <c r="C29">
        <v>2012</v>
      </c>
      <c r="D29">
        <v>342358</v>
      </c>
      <c r="E29" t="s">
        <v>13</v>
      </c>
      <c r="F29" t="s">
        <v>14</v>
      </c>
      <c r="G29" t="s">
        <v>15</v>
      </c>
      <c r="H29" t="s">
        <v>16</v>
      </c>
      <c r="I29" s="2" t="str">
        <f>LEFT(B29,FIND(" ",B29)-1)</f>
        <v>BMW</v>
      </c>
      <c r="J29" s="1" t="str">
        <f ca="1">_xlfn.FORMULATEXT(I29)</f>
        <v>=LEFT(B29,FIND(" ",B29)-1)</v>
      </c>
    </row>
    <row r="30" spans="1:10" x14ac:dyDescent="0.35">
      <c r="B30" t="s">
        <v>17</v>
      </c>
      <c r="C30">
        <v>2017</v>
      </c>
      <c r="D30">
        <v>130000</v>
      </c>
      <c r="E30" t="s">
        <v>18</v>
      </c>
      <c r="F30" t="s">
        <v>19</v>
      </c>
      <c r="G30" t="s">
        <v>20</v>
      </c>
      <c r="H30" t="s">
        <v>21</v>
      </c>
      <c r="I30" s="2" t="str">
        <f t="shared" ref="I30:I46" si="0">LEFT(B30,FIND(" ",B30)-1)</f>
        <v>Audi</v>
      </c>
      <c r="J30" s="1" t="str">
        <f t="shared" ref="J30:J46" ca="1" si="1">_xlfn.FORMULATEXT(I30)</f>
        <v>=LEFT(B30,FIND(" ",B30)-1)</v>
      </c>
    </row>
    <row r="31" spans="1:10" x14ac:dyDescent="0.35">
      <c r="B31" t="s">
        <v>22</v>
      </c>
      <c r="C31">
        <v>2020</v>
      </c>
      <c r="D31">
        <v>92450</v>
      </c>
      <c r="E31" t="s">
        <v>23</v>
      </c>
      <c r="F31" t="s">
        <v>14</v>
      </c>
      <c r="G31" t="s">
        <v>24</v>
      </c>
      <c r="H31" t="s">
        <v>25</v>
      </c>
      <c r="I31" s="2" t="str">
        <f t="shared" si="0"/>
        <v>Mercedes</v>
      </c>
      <c r="J31" s="1" t="str">
        <f t="shared" ca="1" si="1"/>
        <v>=LEFT(B31,FIND(" ",B31)-1)</v>
      </c>
    </row>
    <row r="32" spans="1:10" x14ac:dyDescent="0.35">
      <c r="B32" t="s">
        <v>12</v>
      </c>
      <c r="C32">
        <v>2020</v>
      </c>
      <c r="D32">
        <v>76240</v>
      </c>
      <c r="E32" t="s">
        <v>13</v>
      </c>
      <c r="F32" t="s">
        <v>14</v>
      </c>
      <c r="G32" t="s">
        <v>20</v>
      </c>
      <c r="H32" t="s">
        <v>26</v>
      </c>
      <c r="I32" s="2" t="str">
        <f t="shared" si="0"/>
        <v>BMW</v>
      </c>
      <c r="J32" s="1" t="str">
        <f t="shared" ca="1" si="1"/>
        <v>=LEFT(B32,FIND(" ",B32)-1)</v>
      </c>
    </row>
    <row r="33" spans="2:10" x14ac:dyDescent="0.35">
      <c r="B33" t="s">
        <v>27</v>
      </c>
      <c r="C33">
        <v>2021</v>
      </c>
      <c r="D33">
        <v>17283</v>
      </c>
      <c r="E33" t="s">
        <v>13</v>
      </c>
      <c r="F33" t="s">
        <v>19</v>
      </c>
      <c r="G33" t="s">
        <v>15</v>
      </c>
      <c r="H33" t="s">
        <v>28</v>
      </c>
      <c r="I33" s="2" t="str">
        <f t="shared" si="0"/>
        <v>BMW</v>
      </c>
      <c r="J33" s="1" t="str">
        <f t="shared" ca="1" si="1"/>
        <v>=LEFT(B33,FIND(" ",B33)-1)</v>
      </c>
    </row>
    <row r="34" spans="2:10" x14ac:dyDescent="0.35">
      <c r="B34" t="s">
        <v>29</v>
      </c>
      <c r="C34">
        <v>2020</v>
      </c>
      <c r="D34">
        <v>98312</v>
      </c>
      <c r="E34" t="s">
        <v>18</v>
      </c>
      <c r="F34" t="s">
        <v>14</v>
      </c>
      <c r="G34" t="s">
        <v>24</v>
      </c>
      <c r="H34" t="s">
        <v>30</v>
      </c>
      <c r="I34" s="2" t="str">
        <f t="shared" si="0"/>
        <v>Lexus</v>
      </c>
      <c r="J34" s="1" t="str">
        <f t="shared" ca="1" si="1"/>
        <v>=LEFT(B34,FIND(" ",B34)-1)</v>
      </c>
    </row>
    <row r="35" spans="2:10" x14ac:dyDescent="0.35">
      <c r="B35" t="s">
        <v>27</v>
      </c>
      <c r="C35">
        <v>2018</v>
      </c>
      <c r="D35">
        <v>156784</v>
      </c>
      <c r="E35" t="s">
        <v>31</v>
      </c>
      <c r="F35" t="s">
        <v>19</v>
      </c>
      <c r="G35" t="s">
        <v>24</v>
      </c>
      <c r="H35" t="s">
        <v>32</v>
      </c>
      <c r="I35" s="2" t="str">
        <f t="shared" si="0"/>
        <v>BMW</v>
      </c>
      <c r="J35" s="1" t="str">
        <f t="shared" ca="1" si="1"/>
        <v>=LEFT(B35,FIND(" ",B35)-1)</v>
      </c>
    </row>
    <row r="36" spans="2:10" x14ac:dyDescent="0.35">
      <c r="B36" t="s">
        <v>12</v>
      </c>
      <c r="C36">
        <v>2019</v>
      </c>
      <c r="D36">
        <v>52034</v>
      </c>
      <c r="E36" t="s">
        <v>33</v>
      </c>
      <c r="F36" t="s">
        <v>14</v>
      </c>
      <c r="G36" t="s">
        <v>15</v>
      </c>
      <c r="H36" t="s">
        <v>34</v>
      </c>
      <c r="I36" s="2" t="str">
        <f t="shared" si="0"/>
        <v>BMW</v>
      </c>
      <c r="J36" s="1" t="str">
        <f t="shared" ca="1" si="1"/>
        <v>=LEFT(B36,FIND(" ",B36)-1)</v>
      </c>
    </row>
    <row r="37" spans="2:10" x14ac:dyDescent="0.35">
      <c r="B37" t="s">
        <v>35</v>
      </c>
      <c r="C37">
        <v>2011</v>
      </c>
      <c r="D37">
        <v>205204</v>
      </c>
      <c r="E37" t="s">
        <v>18</v>
      </c>
      <c r="F37" t="s">
        <v>14</v>
      </c>
      <c r="G37" t="s">
        <v>20</v>
      </c>
      <c r="H37" t="s">
        <v>36</v>
      </c>
      <c r="I37" s="2" t="str">
        <f t="shared" si="0"/>
        <v>BMW</v>
      </c>
      <c r="J37" s="1" t="str">
        <f t="shared" ca="1" si="1"/>
        <v>=LEFT(B37,FIND(" ",B37)-1)</v>
      </c>
    </row>
    <row r="38" spans="2:10" x14ac:dyDescent="0.35">
      <c r="B38" t="s">
        <v>22</v>
      </c>
      <c r="C38">
        <v>2014</v>
      </c>
      <c r="D38">
        <v>152985</v>
      </c>
      <c r="E38" t="s">
        <v>23</v>
      </c>
      <c r="F38" t="s">
        <v>14</v>
      </c>
      <c r="G38" t="s">
        <v>20</v>
      </c>
      <c r="H38" t="s">
        <v>37</v>
      </c>
      <c r="I38" s="2" t="str">
        <f t="shared" si="0"/>
        <v>Mercedes</v>
      </c>
      <c r="J38" s="1" t="str">
        <f t="shared" ca="1" si="1"/>
        <v>=LEFT(B38,FIND(" ",B38)-1)</v>
      </c>
    </row>
    <row r="39" spans="2:10" x14ac:dyDescent="0.35">
      <c r="B39" t="s">
        <v>38</v>
      </c>
      <c r="C39">
        <v>2018</v>
      </c>
      <c r="D39">
        <v>76429</v>
      </c>
      <c r="E39" t="s">
        <v>39</v>
      </c>
      <c r="F39" t="s">
        <v>14</v>
      </c>
      <c r="G39" t="s">
        <v>15</v>
      </c>
      <c r="H39" t="s">
        <v>40</v>
      </c>
      <c r="I39" s="2" t="str">
        <f t="shared" si="0"/>
        <v>Tesla</v>
      </c>
      <c r="J39" s="1" t="str">
        <f t="shared" ca="1" si="1"/>
        <v>=LEFT(B39,FIND(" ",B39)-1)</v>
      </c>
    </row>
    <row r="40" spans="2:10" x14ac:dyDescent="0.35">
      <c r="B40" t="s">
        <v>41</v>
      </c>
      <c r="C40">
        <v>2013</v>
      </c>
      <c r="D40">
        <v>254028</v>
      </c>
      <c r="E40" t="s">
        <v>42</v>
      </c>
      <c r="F40" t="s">
        <v>19</v>
      </c>
      <c r="G40" t="s">
        <v>20</v>
      </c>
      <c r="H40" t="s">
        <v>43</v>
      </c>
      <c r="I40" s="2" t="str">
        <f t="shared" si="0"/>
        <v>Volvo</v>
      </c>
      <c r="J40" s="1" t="str">
        <f t="shared" ca="1" si="1"/>
        <v>=LEFT(B40,FIND(" ",B40)-1)</v>
      </c>
    </row>
    <row r="41" spans="2:10" x14ac:dyDescent="0.35">
      <c r="B41" t="s">
        <v>44</v>
      </c>
      <c r="C41">
        <v>2014</v>
      </c>
      <c r="D41">
        <v>45832</v>
      </c>
      <c r="E41" t="s">
        <v>13</v>
      </c>
      <c r="F41" t="s">
        <v>19</v>
      </c>
      <c r="G41" t="s">
        <v>15</v>
      </c>
      <c r="H41" t="s">
        <v>45</v>
      </c>
      <c r="I41" s="2" t="str">
        <f t="shared" si="0"/>
        <v>Audi</v>
      </c>
      <c r="J41" s="1" t="str">
        <f t="shared" ca="1" si="1"/>
        <v>=LEFT(B41,FIND(" ",B41)-1)</v>
      </c>
    </row>
    <row r="42" spans="2:10" x14ac:dyDescent="0.35">
      <c r="B42" t="s">
        <v>46</v>
      </c>
      <c r="C42">
        <v>2018</v>
      </c>
      <c r="D42">
        <v>67591</v>
      </c>
      <c r="E42" t="s">
        <v>31</v>
      </c>
      <c r="F42" t="s">
        <v>14</v>
      </c>
      <c r="G42" t="s">
        <v>20</v>
      </c>
      <c r="H42" t="s">
        <v>47</v>
      </c>
      <c r="I42" s="2" t="str">
        <f t="shared" si="0"/>
        <v>Cadillac</v>
      </c>
      <c r="J42" s="1" t="str">
        <f t="shared" ca="1" si="1"/>
        <v>=LEFT(B42,FIND(" ",B42)-1)</v>
      </c>
    </row>
    <row r="43" spans="2:10" x14ac:dyDescent="0.35">
      <c r="B43" t="s">
        <v>48</v>
      </c>
      <c r="C43">
        <v>2013</v>
      </c>
      <c r="D43">
        <v>85320</v>
      </c>
      <c r="E43" t="s">
        <v>13</v>
      </c>
      <c r="F43" t="s">
        <v>14</v>
      </c>
      <c r="G43" t="s">
        <v>20</v>
      </c>
      <c r="H43" t="s">
        <v>49</v>
      </c>
      <c r="I43" s="2" t="str">
        <f t="shared" si="0"/>
        <v>Jaguar</v>
      </c>
      <c r="J43" s="1" t="str">
        <f t="shared" ca="1" si="1"/>
        <v>=LEFT(B43,FIND(" ",B43)-1)</v>
      </c>
    </row>
    <row r="44" spans="2:10" x14ac:dyDescent="0.35">
      <c r="B44" t="s">
        <v>29</v>
      </c>
      <c r="C44">
        <v>2016</v>
      </c>
      <c r="D44">
        <v>5000</v>
      </c>
      <c r="E44" t="s">
        <v>13</v>
      </c>
      <c r="F44" t="s">
        <v>14</v>
      </c>
      <c r="G44" t="s">
        <v>15</v>
      </c>
      <c r="H44" t="s">
        <v>50</v>
      </c>
      <c r="I44" s="2" t="str">
        <f t="shared" si="0"/>
        <v>Lexus</v>
      </c>
      <c r="J44" s="1" t="str">
        <f t="shared" ca="1" si="1"/>
        <v>=LEFT(B44,FIND(" ",B44)-1)</v>
      </c>
    </row>
    <row r="45" spans="2:10" x14ac:dyDescent="0.35">
      <c r="B45" t="s">
        <v>51</v>
      </c>
      <c r="C45">
        <v>2017</v>
      </c>
      <c r="D45">
        <v>92450</v>
      </c>
      <c r="E45" t="s">
        <v>18</v>
      </c>
      <c r="F45" t="s">
        <v>19</v>
      </c>
      <c r="G45" t="s">
        <v>20</v>
      </c>
      <c r="H45" t="s">
        <v>52</v>
      </c>
      <c r="I45" s="2" t="str">
        <f t="shared" si="0"/>
        <v>BMW</v>
      </c>
      <c r="J45" s="1" t="str">
        <f t="shared" ca="1" si="1"/>
        <v>=LEFT(B45,FIND(" ",B45)-1)</v>
      </c>
    </row>
    <row r="46" spans="2:10" x14ac:dyDescent="0.35">
      <c r="B46" t="s">
        <v>29</v>
      </c>
      <c r="C46">
        <v>2015</v>
      </c>
      <c r="D46">
        <v>130000</v>
      </c>
      <c r="E46" t="s">
        <v>23</v>
      </c>
      <c r="F46" t="s">
        <v>14</v>
      </c>
      <c r="G46" t="s">
        <v>53</v>
      </c>
      <c r="H46" t="s">
        <v>54</v>
      </c>
      <c r="I46" s="2" t="str">
        <f t="shared" si="0"/>
        <v>Lexus</v>
      </c>
      <c r="J46" s="1" t="str">
        <f t="shared" ca="1" si="1"/>
        <v>=LEFT(B46,FIND(" ",B46)-1)</v>
      </c>
    </row>
    <row r="48" spans="2:10" x14ac:dyDescent="0.35">
      <c r="B48" t="s">
        <v>74</v>
      </c>
    </row>
    <row r="49" spans="2:3" x14ac:dyDescent="0.35">
      <c r="B49" s="3" t="s">
        <v>75</v>
      </c>
    </row>
    <row r="50" spans="2:3" x14ac:dyDescent="0.35">
      <c r="B50" s="3"/>
    </row>
    <row r="51" spans="2:3" x14ac:dyDescent="0.35">
      <c r="B51" s="4" t="s">
        <v>76</v>
      </c>
    </row>
    <row r="52" spans="2:3" x14ac:dyDescent="0.35">
      <c r="B52" s="4" t="s">
        <v>77</v>
      </c>
    </row>
    <row r="54" spans="2:3" x14ac:dyDescent="0.35">
      <c r="B54" t="s">
        <v>78</v>
      </c>
    </row>
    <row r="55" spans="2:3" x14ac:dyDescent="0.35">
      <c r="B55" t="s">
        <v>79</v>
      </c>
    </row>
    <row r="57" spans="2:3" x14ac:dyDescent="0.35">
      <c r="B57" s="1" t="s">
        <v>73</v>
      </c>
      <c r="C57" s="1" t="s">
        <v>80</v>
      </c>
    </row>
    <row r="58" spans="2:3" x14ac:dyDescent="0.35">
      <c r="B58" t="str" cm="1">
        <f t="array" ref="B58:B65">_xlfn.UNIQUE(I29:I46)</f>
        <v>BMW</v>
      </c>
      <c r="C58">
        <f>COUNTIF($I$29:$I$46,B58)</f>
        <v>7</v>
      </c>
    </row>
    <row r="59" spans="2:3" x14ac:dyDescent="0.35">
      <c r="B59" t="str">
        <v>Audi</v>
      </c>
      <c r="C59">
        <f t="shared" ref="C59:C65" si="2">COUNTIF($I$29:$I$46,B59)</f>
        <v>2</v>
      </c>
    </row>
    <row r="60" spans="2:3" x14ac:dyDescent="0.35">
      <c r="B60" t="str">
        <v>Mercedes</v>
      </c>
      <c r="C60">
        <f t="shared" si="2"/>
        <v>2</v>
      </c>
    </row>
    <row r="61" spans="2:3" x14ac:dyDescent="0.35">
      <c r="B61" t="str">
        <v>Lexus</v>
      </c>
      <c r="C61">
        <f t="shared" si="2"/>
        <v>3</v>
      </c>
    </row>
    <row r="62" spans="2:3" x14ac:dyDescent="0.35">
      <c r="B62" t="str">
        <v>Tesla</v>
      </c>
      <c r="C62">
        <f t="shared" si="2"/>
        <v>1</v>
      </c>
    </row>
    <row r="63" spans="2:3" x14ac:dyDescent="0.35">
      <c r="B63" t="str">
        <v>Volvo</v>
      </c>
      <c r="C63">
        <f t="shared" si="2"/>
        <v>1</v>
      </c>
    </row>
    <row r="64" spans="2:3" x14ac:dyDescent="0.35">
      <c r="B64" t="str">
        <v>Cadillac</v>
      </c>
      <c r="C64">
        <f t="shared" si="2"/>
        <v>1</v>
      </c>
    </row>
    <row r="65" spans="2:3" x14ac:dyDescent="0.35">
      <c r="B65" t="str">
        <v>Jaguar</v>
      </c>
      <c r="C65">
        <f t="shared" si="2"/>
        <v>1</v>
      </c>
    </row>
    <row r="67" spans="2:3" x14ac:dyDescent="0.35">
      <c r="B67" t="s">
        <v>81</v>
      </c>
    </row>
    <row r="69" spans="2:3" x14ac:dyDescent="0.35">
      <c r="B69" t="s">
        <v>73</v>
      </c>
    </row>
    <row r="70" spans="2:3" x14ac:dyDescent="0.35">
      <c r="B70" s="2" t="str" cm="1">
        <f t="array" ref="B70:B77">_xlfn.UNIQUE(I29:I46)</f>
        <v>BMW</v>
      </c>
      <c r="C70" s="1" t="str">
        <f ca="1">_xlfn.FORMULATEXT(B70)</f>
        <v>=UNIQUE(I29:I46)</v>
      </c>
    </row>
    <row r="71" spans="2:3" x14ac:dyDescent="0.35">
      <c r="B71" s="2" t="str">
        <v>Audi</v>
      </c>
    </row>
    <row r="72" spans="2:3" x14ac:dyDescent="0.35">
      <c r="B72" s="2" t="str">
        <v>Mercedes</v>
      </c>
    </row>
    <row r="73" spans="2:3" x14ac:dyDescent="0.35">
      <c r="B73" s="2" t="str">
        <v>Lexus</v>
      </c>
    </row>
    <row r="74" spans="2:3" x14ac:dyDescent="0.35">
      <c r="B74" s="2" t="str">
        <v>Tesla</v>
      </c>
    </row>
    <row r="75" spans="2:3" x14ac:dyDescent="0.35">
      <c r="B75" s="2" t="str">
        <v>Volvo</v>
      </c>
    </row>
    <row r="76" spans="2:3" x14ac:dyDescent="0.35">
      <c r="B76" s="2" t="str">
        <v>Cadillac</v>
      </c>
    </row>
    <row r="77" spans="2:3" x14ac:dyDescent="0.35">
      <c r="B77" s="2" t="str">
        <v>Jaguar</v>
      </c>
    </row>
    <row r="79" spans="2:3" x14ac:dyDescent="0.35">
      <c r="B79" t="s">
        <v>82</v>
      </c>
    </row>
    <row r="80" spans="2:3" x14ac:dyDescent="0.35">
      <c r="B80" t="s">
        <v>83</v>
      </c>
    </row>
    <row r="82" spans="2:4" x14ac:dyDescent="0.35">
      <c r="B82" s="4" t="s">
        <v>84</v>
      </c>
    </row>
    <row r="83" spans="2:4" x14ac:dyDescent="0.35">
      <c r="B83" s="4"/>
    </row>
    <row r="84" spans="2:4" x14ac:dyDescent="0.35">
      <c r="B84" s="5" t="s">
        <v>85</v>
      </c>
    </row>
    <row r="85" spans="2:4" x14ac:dyDescent="0.35">
      <c r="B85" s="4" t="s">
        <v>86</v>
      </c>
    </row>
    <row r="86" spans="2:4" x14ac:dyDescent="0.35">
      <c r="B86" s="4"/>
    </row>
    <row r="87" spans="2:4" x14ac:dyDescent="0.35">
      <c r="B87" t="s">
        <v>87</v>
      </c>
    </row>
    <row r="89" spans="2:4" x14ac:dyDescent="0.35">
      <c r="B89" t="s">
        <v>73</v>
      </c>
      <c r="C89" t="s">
        <v>80</v>
      </c>
    </row>
    <row r="90" spans="2:4" x14ac:dyDescent="0.35">
      <c r="B90" t="str" cm="1">
        <f t="array" ref="B90:B97">_xlfn.UNIQUE(I29:I46)</f>
        <v>BMW</v>
      </c>
      <c r="C90" s="6">
        <f>COUNTIF($I$29:$I$46,B90)</f>
        <v>7</v>
      </c>
      <c r="D90" s="1" t="str">
        <f ca="1">_xlfn.FORMULATEXT(C90)</f>
        <v>=COUNTIF($I$29:$I$46,B90)</v>
      </c>
    </row>
    <row r="91" spans="2:4" x14ac:dyDescent="0.35">
      <c r="B91" t="str">
        <v>Audi</v>
      </c>
      <c r="C91" s="6">
        <f t="shared" ref="C91:C97" si="3">COUNTIF($I$29:$I$46,B91)</f>
        <v>2</v>
      </c>
      <c r="D91" s="1" t="str">
        <f t="shared" ref="D91:D97" ca="1" si="4">_xlfn.FORMULATEXT(C91)</f>
        <v>=COUNTIF($I$29:$I$46,B91)</v>
      </c>
    </row>
    <row r="92" spans="2:4" x14ac:dyDescent="0.35">
      <c r="B92" t="str">
        <v>Mercedes</v>
      </c>
      <c r="C92" s="6">
        <f t="shared" si="3"/>
        <v>2</v>
      </c>
      <c r="D92" s="1" t="str">
        <f t="shared" ca="1" si="4"/>
        <v>=COUNTIF($I$29:$I$46,B92)</v>
      </c>
    </row>
    <row r="93" spans="2:4" x14ac:dyDescent="0.35">
      <c r="B93" t="str">
        <v>Lexus</v>
      </c>
      <c r="C93" s="6">
        <f t="shared" si="3"/>
        <v>3</v>
      </c>
      <c r="D93" s="1" t="str">
        <f t="shared" ca="1" si="4"/>
        <v>=COUNTIF($I$29:$I$46,B93)</v>
      </c>
    </row>
    <row r="94" spans="2:4" x14ac:dyDescent="0.35">
      <c r="B94" t="str">
        <v>Tesla</v>
      </c>
      <c r="C94" s="6">
        <f t="shared" si="3"/>
        <v>1</v>
      </c>
      <c r="D94" s="1" t="str">
        <f t="shared" ca="1" si="4"/>
        <v>=COUNTIF($I$29:$I$46,B94)</v>
      </c>
    </row>
    <row r="95" spans="2:4" x14ac:dyDescent="0.35">
      <c r="B95" t="str">
        <v>Volvo</v>
      </c>
      <c r="C95" s="6">
        <f t="shared" si="3"/>
        <v>1</v>
      </c>
      <c r="D95" s="1" t="str">
        <f t="shared" ca="1" si="4"/>
        <v>=COUNTIF($I$29:$I$46,B95)</v>
      </c>
    </row>
    <row r="96" spans="2:4" x14ac:dyDescent="0.35">
      <c r="B96" t="str">
        <v>Cadillac</v>
      </c>
      <c r="C96" s="6">
        <f t="shared" si="3"/>
        <v>1</v>
      </c>
      <c r="D96" s="1" t="str">
        <f t="shared" ca="1" si="4"/>
        <v>=COUNTIF($I$29:$I$46,B96)</v>
      </c>
    </row>
    <row r="97" spans="1:11" x14ac:dyDescent="0.35">
      <c r="B97" t="str">
        <v>Jaguar</v>
      </c>
      <c r="C97" s="6">
        <f t="shared" si="3"/>
        <v>1</v>
      </c>
      <c r="D97" s="1" t="str">
        <f t="shared" ca="1" si="4"/>
        <v>=COUNTIF($I$29:$I$46,B97)</v>
      </c>
    </row>
    <row r="99" spans="1:11" x14ac:dyDescent="0.35">
      <c r="B99" t="s">
        <v>88</v>
      </c>
    </row>
    <row r="101" spans="1:11" x14ac:dyDescent="0.35">
      <c r="B101" s="4" t="s">
        <v>89</v>
      </c>
    </row>
    <row r="102" spans="1:11" x14ac:dyDescent="0.35">
      <c r="B102" s="4" t="s">
        <v>90</v>
      </c>
    </row>
    <row r="103" spans="1:11" x14ac:dyDescent="0.35">
      <c r="B103" s="4"/>
    </row>
    <row r="104" spans="1:11" x14ac:dyDescent="0.35">
      <c r="A104">
        <v>2</v>
      </c>
      <c r="B104" t="s">
        <v>2</v>
      </c>
    </row>
    <row r="106" spans="1:11" x14ac:dyDescent="0.35">
      <c r="B106" t="s">
        <v>91</v>
      </c>
    </row>
    <row r="107" spans="1:11" x14ac:dyDescent="0.35">
      <c r="B107" t="s">
        <v>92</v>
      </c>
    </row>
    <row r="108" spans="1:11" x14ac:dyDescent="0.35">
      <c r="B108" t="s">
        <v>93</v>
      </c>
    </row>
    <row r="110" spans="1:11" x14ac:dyDescent="0.35">
      <c r="B110" s="1" t="s">
        <v>5</v>
      </c>
      <c r="C110" s="1" t="s">
        <v>6</v>
      </c>
      <c r="D110" s="1" t="s">
        <v>7</v>
      </c>
      <c r="E110" s="1" t="s">
        <v>8</v>
      </c>
      <c r="F110" s="1" t="s">
        <v>9</v>
      </c>
      <c r="G110" s="1" t="s">
        <v>10</v>
      </c>
      <c r="H110" s="1" t="s">
        <v>11</v>
      </c>
      <c r="I110" s="1" t="s">
        <v>73</v>
      </c>
      <c r="J110" s="1" t="s">
        <v>56</v>
      </c>
    </row>
    <row r="111" spans="1:11" x14ac:dyDescent="0.35">
      <c r="B111" t="s">
        <v>12</v>
      </c>
      <c r="C111">
        <v>2012</v>
      </c>
      <c r="D111">
        <v>342358</v>
      </c>
      <c r="E111" t="s">
        <v>13</v>
      </c>
      <c r="F111" t="s">
        <v>14</v>
      </c>
      <c r="G111" t="s">
        <v>15</v>
      </c>
      <c r="H111" t="s">
        <v>16</v>
      </c>
      <c r="I111" t="str">
        <f>LEFT(B111,FIND(" ",B111)-1)</f>
        <v>BMW</v>
      </c>
      <c r="J111" s="2" t="str">
        <f>_xlfn.XLOOKUP(I111,'Manufacturing country'!A:A,'Manufacturing country'!B:B)</f>
        <v>Germany</v>
      </c>
      <c r="K111" s="1" t="str">
        <f ca="1">_xlfn.FORMULATEXT(J111)</f>
        <v>=XLOOKUP(I111,'Manufacturing country'!A:A,'Manufacturing country'!B:B)</v>
      </c>
    </row>
    <row r="112" spans="1:11" x14ac:dyDescent="0.35">
      <c r="B112" t="s">
        <v>17</v>
      </c>
      <c r="C112">
        <v>2017</v>
      </c>
      <c r="D112">
        <v>130000</v>
      </c>
      <c r="E112" t="s">
        <v>18</v>
      </c>
      <c r="F112" t="s">
        <v>19</v>
      </c>
      <c r="G112" t="s">
        <v>20</v>
      </c>
      <c r="H112" t="s">
        <v>21</v>
      </c>
      <c r="I112" t="str">
        <f t="shared" ref="I112:I128" si="5">LEFT(B112,FIND(" ",B112)-1)</f>
        <v>Audi</v>
      </c>
      <c r="J112" s="2" t="str">
        <f>_xlfn.XLOOKUP(I112,'Manufacturing country'!A:A,'Manufacturing country'!B:B)</f>
        <v>Germany</v>
      </c>
      <c r="K112" s="1" t="str">
        <f t="shared" ref="K112:K128" ca="1" si="6">_xlfn.FORMULATEXT(J112)</f>
        <v>=XLOOKUP(I112,'Manufacturing country'!A:A,'Manufacturing country'!B:B)</v>
      </c>
    </row>
    <row r="113" spans="2:11" x14ac:dyDescent="0.35">
      <c r="B113" t="s">
        <v>22</v>
      </c>
      <c r="C113">
        <v>2020</v>
      </c>
      <c r="D113">
        <v>92450</v>
      </c>
      <c r="E113" t="s">
        <v>23</v>
      </c>
      <c r="F113" t="s">
        <v>14</v>
      </c>
      <c r="G113" t="s">
        <v>24</v>
      </c>
      <c r="H113" t="s">
        <v>25</v>
      </c>
      <c r="I113" t="str">
        <f t="shared" si="5"/>
        <v>Mercedes</v>
      </c>
      <c r="J113" s="2" t="str">
        <f>_xlfn.XLOOKUP(I113,'Manufacturing country'!A:A,'Manufacturing country'!B:B)</f>
        <v>Germany</v>
      </c>
      <c r="K113" s="1" t="str">
        <f t="shared" ca="1" si="6"/>
        <v>=XLOOKUP(I113,'Manufacturing country'!A:A,'Manufacturing country'!B:B)</v>
      </c>
    </row>
    <row r="114" spans="2:11" x14ac:dyDescent="0.35">
      <c r="B114" t="s">
        <v>12</v>
      </c>
      <c r="C114">
        <v>2020</v>
      </c>
      <c r="D114">
        <v>76240</v>
      </c>
      <c r="E114" t="s">
        <v>13</v>
      </c>
      <c r="F114" t="s">
        <v>14</v>
      </c>
      <c r="G114" t="s">
        <v>20</v>
      </c>
      <c r="H114" t="s">
        <v>26</v>
      </c>
      <c r="I114" t="str">
        <f t="shared" si="5"/>
        <v>BMW</v>
      </c>
      <c r="J114" s="2" t="str">
        <f>_xlfn.XLOOKUP(I114,'Manufacturing country'!A:A,'Manufacturing country'!B:B)</f>
        <v>Germany</v>
      </c>
      <c r="K114" s="1" t="str">
        <f t="shared" ca="1" si="6"/>
        <v>=XLOOKUP(I114,'Manufacturing country'!A:A,'Manufacturing country'!B:B)</v>
      </c>
    </row>
    <row r="115" spans="2:11" x14ac:dyDescent="0.35">
      <c r="B115" t="s">
        <v>27</v>
      </c>
      <c r="C115">
        <v>2021</v>
      </c>
      <c r="D115">
        <v>17283</v>
      </c>
      <c r="E115" t="s">
        <v>13</v>
      </c>
      <c r="F115" t="s">
        <v>19</v>
      </c>
      <c r="G115" t="s">
        <v>15</v>
      </c>
      <c r="H115" t="s">
        <v>28</v>
      </c>
      <c r="I115" t="str">
        <f t="shared" si="5"/>
        <v>BMW</v>
      </c>
      <c r="J115" s="2" t="str">
        <f>_xlfn.XLOOKUP(I115,'Manufacturing country'!A:A,'Manufacturing country'!B:B)</f>
        <v>Germany</v>
      </c>
      <c r="K115" s="1" t="str">
        <f t="shared" ca="1" si="6"/>
        <v>=XLOOKUP(I115,'Manufacturing country'!A:A,'Manufacturing country'!B:B)</v>
      </c>
    </row>
    <row r="116" spans="2:11" x14ac:dyDescent="0.35">
      <c r="B116" t="s">
        <v>29</v>
      </c>
      <c r="C116">
        <v>2020</v>
      </c>
      <c r="D116">
        <v>98312</v>
      </c>
      <c r="E116" t="s">
        <v>18</v>
      </c>
      <c r="F116" t="s">
        <v>14</v>
      </c>
      <c r="G116" t="s">
        <v>24</v>
      </c>
      <c r="H116" t="s">
        <v>30</v>
      </c>
      <c r="I116" t="str">
        <f t="shared" si="5"/>
        <v>Lexus</v>
      </c>
      <c r="J116" s="2" t="str">
        <f>_xlfn.XLOOKUP(I116,'Manufacturing country'!A:A,'Manufacturing country'!B:B)</f>
        <v>Japan</v>
      </c>
      <c r="K116" s="1" t="str">
        <f t="shared" ca="1" si="6"/>
        <v>=XLOOKUP(I116,'Manufacturing country'!A:A,'Manufacturing country'!B:B)</v>
      </c>
    </row>
    <row r="117" spans="2:11" x14ac:dyDescent="0.35">
      <c r="B117" t="s">
        <v>27</v>
      </c>
      <c r="C117">
        <v>2018</v>
      </c>
      <c r="D117">
        <v>156784</v>
      </c>
      <c r="E117" t="s">
        <v>31</v>
      </c>
      <c r="F117" t="s">
        <v>19</v>
      </c>
      <c r="G117" t="s">
        <v>24</v>
      </c>
      <c r="H117" t="s">
        <v>32</v>
      </c>
      <c r="I117" t="str">
        <f t="shared" si="5"/>
        <v>BMW</v>
      </c>
      <c r="J117" s="2" t="str">
        <f>_xlfn.XLOOKUP(I117,'Manufacturing country'!A:A,'Manufacturing country'!B:B)</f>
        <v>Germany</v>
      </c>
      <c r="K117" s="1" t="str">
        <f t="shared" ca="1" si="6"/>
        <v>=XLOOKUP(I117,'Manufacturing country'!A:A,'Manufacturing country'!B:B)</v>
      </c>
    </row>
    <row r="118" spans="2:11" x14ac:dyDescent="0.35">
      <c r="B118" t="s">
        <v>12</v>
      </c>
      <c r="C118">
        <v>2019</v>
      </c>
      <c r="D118">
        <v>52034</v>
      </c>
      <c r="E118" t="s">
        <v>33</v>
      </c>
      <c r="F118" t="s">
        <v>14</v>
      </c>
      <c r="G118" t="s">
        <v>15</v>
      </c>
      <c r="H118" t="s">
        <v>34</v>
      </c>
      <c r="I118" t="str">
        <f t="shared" si="5"/>
        <v>BMW</v>
      </c>
      <c r="J118" s="2" t="str">
        <f>_xlfn.XLOOKUP(I118,'Manufacturing country'!A:A,'Manufacturing country'!B:B)</f>
        <v>Germany</v>
      </c>
      <c r="K118" s="1" t="str">
        <f t="shared" ca="1" si="6"/>
        <v>=XLOOKUP(I118,'Manufacturing country'!A:A,'Manufacturing country'!B:B)</v>
      </c>
    </row>
    <row r="119" spans="2:11" x14ac:dyDescent="0.35">
      <c r="B119" t="s">
        <v>35</v>
      </c>
      <c r="C119">
        <v>2011</v>
      </c>
      <c r="D119">
        <v>205204</v>
      </c>
      <c r="E119" t="s">
        <v>18</v>
      </c>
      <c r="F119" t="s">
        <v>14</v>
      </c>
      <c r="G119" t="s">
        <v>20</v>
      </c>
      <c r="H119" t="s">
        <v>36</v>
      </c>
      <c r="I119" t="str">
        <f t="shared" si="5"/>
        <v>BMW</v>
      </c>
      <c r="J119" s="2" t="str">
        <f>_xlfn.XLOOKUP(I119,'Manufacturing country'!A:A,'Manufacturing country'!B:B)</f>
        <v>Germany</v>
      </c>
      <c r="K119" s="1" t="str">
        <f t="shared" ca="1" si="6"/>
        <v>=XLOOKUP(I119,'Manufacturing country'!A:A,'Manufacturing country'!B:B)</v>
      </c>
    </row>
    <row r="120" spans="2:11" x14ac:dyDescent="0.35">
      <c r="B120" t="s">
        <v>22</v>
      </c>
      <c r="C120">
        <v>2014</v>
      </c>
      <c r="D120">
        <v>152985</v>
      </c>
      <c r="E120" t="s">
        <v>23</v>
      </c>
      <c r="F120" t="s">
        <v>14</v>
      </c>
      <c r="G120" t="s">
        <v>20</v>
      </c>
      <c r="H120" t="s">
        <v>37</v>
      </c>
      <c r="I120" t="str">
        <f t="shared" si="5"/>
        <v>Mercedes</v>
      </c>
      <c r="J120" s="2" t="str">
        <f>_xlfn.XLOOKUP(I120,'Manufacturing country'!A:A,'Manufacturing country'!B:B)</f>
        <v>Germany</v>
      </c>
      <c r="K120" s="1" t="str">
        <f t="shared" ca="1" si="6"/>
        <v>=XLOOKUP(I120,'Manufacturing country'!A:A,'Manufacturing country'!B:B)</v>
      </c>
    </row>
    <row r="121" spans="2:11" x14ac:dyDescent="0.35">
      <c r="B121" t="s">
        <v>38</v>
      </c>
      <c r="C121">
        <v>2018</v>
      </c>
      <c r="D121">
        <v>76429</v>
      </c>
      <c r="E121" t="s">
        <v>39</v>
      </c>
      <c r="F121" t="s">
        <v>14</v>
      </c>
      <c r="G121" t="s">
        <v>15</v>
      </c>
      <c r="H121" t="s">
        <v>40</v>
      </c>
      <c r="I121" t="str">
        <f t="shared" si="5"/>
        <v>Tesla</v>
      </c>
      <c r="J121" s="2" t="str">
        <f>_xlfn.XLOOKUP(I121,'Manufacturing country'!A:A,'Manufacturing country'!B:B)</f>
        <v>USA</v>
      </c>
      <c r="K121" s="1" t="str">
        <f t="shared" ca="1" si="6"/>
        <v>=XLOOKUP(I121,'Manufacturing country'!A:A,'Manufacturing country'!B:B)</v>
      </c>
    </row>
    <row r="122" spans="2:11" x14ac:dyDescent="0.35">
      <c r="B122" t="s">
        <v>41</v>
      </c>
      <c r="C122">
        <v>2013</v>
      </c>
      <c r="D122">
        <v>254028</v>
      </c>
      <c r="E122" t="s">
        <v>42</v>
      </c>
      <c r="F122" t="s">
        <v>19</v>
      </c>
      <c r="G122" t="s">
        <v>20</v>
      </c>
      <c r="H122" t="s">
        <v>43</v>
      </c>
      <c r="I122" t="str">
        <f t="shared" si="5"/>
        <v>Volvo</v>
      </c>
      <c r="J122" s="2" t="str">
        <f>_xlfn.XLOOKUP(I122,'Manufacturing country'!A:A,'Manufacturing country'!B:B)</f>
        <v>Sweden</v>
      </c>
      <c r="K122" s="1" t="str">
        <f t="shared" ca="1" si="6"/>
        <v>=XLOOKUP(I122,'Manufacturing country'!A:A,'Manufacturing country'!B:B)</v>
      </c>
    </row>
    <row r="123" spans="2:11" x14ac:dyDescent="0.35">
      <c r="B123" t="s">
        <v>44</v>
      </c>
      <c r="C123">
        <v>2014</v>
      </c>
      <c r="D123">
        <v>45832</v>
      </c>
      <c r="E123" t="s">
        <v>13</v>
      </c>
      <c r="F123" t="s">
        <v>19</v>
      </c>
      <c r="G123" t="s">
        <v>15</v>
      </c>
      <c r="H123" t="s">
        <v>45</v>
      </c>
      <c r="I123" t="str">
        <f t="shared" si="5"/>
        <v>Audi</v>
      </c>
      <c r="J123" s="2" t="str">
        <f>_xlfn.XLOOKUP(I123,'Manufacturing country'!A:A,'Manufacturing country'!B:B)</f>
        <v>Germany</v>
      </c>
      <c r="K123" s="1" t="str">
        <f t="shared" ca="1" si="6"/>
        <v>=XLOOKUP(I123,'Manufacturing country'!A:A,'Manufacturing country'!B:B)</v>
      </c>
    </row>
    <row r="124" spans="2:11" x14ac:dyDescent="0.35">
      <c r="B124" t="s">
        <v>46</v>
      </c>
      <c r="C124">
        <v>2018</v>
      </c>
      <c r="D124">
        <v>67591</v>
      </c>
      <c r="E124" t="s">
        <v>31</v>
      </c>
      <c r="F124" t="s">
        <v>14</v>
      </c>
      <c r="G124" t="s">
        <v>20</v>
      </c>
      <c r="H124" t="s">
        <v>47</v>
      </c>
      <c r="I124" t="str">
        <f t="shared" si="5"/>
        <v>Cadillac</v>
      </c>
      <c r="J124" s="2" t="str">
        <f>_xlfn.XLOOKUP(I124,'Manufacturing country'!A:A,'Manufacturing country'!B:B)</f>
        <v>USA</v>
      </c>
      <c r="K124" s="1" t="str">
        <f t="shared" ca="1" si="6"/>
        <v>=XLOOKUP(I124,'Manufacturing country'!A:A,'Manufacturing country'!B:B)</v>
      </c>
    </row>
    <row r="125" spans="2:11" x14ac:dyDescent="0.35">
      <c r="B125" t="s">
        <v>48</v>
      </c>
      <c r="C125">
        <v>2013</v>
      </c>
      <c r="D125">
        <v>85320</v>
      </c>
      <c r="E125" t="s">
        <v>13</v>
      </c>
      <c r="F125" t="s">
        <v>14</v>
      </c>
      <c r="G125" t="s">
        <v>20</v>
      </c>
      <c r="H125" t="s">
        <v>49</v>
      </c>
      <c r="I125" t="str">
        <f t="shared" si="5"/>
        <v>Jaguar</v>
      </c>
      <c r="J125" s="2" t="str">
        <f>_xlfn.XLOOKUP(I125,'Manufacturing country'!A:A,'Manufacturing country'!B:B)</f>
        <v>UK</v>
      </c>
      <c r="K125" s="1" t="str">
        <f t="shared" ca="1" si="6"/>
        <v>=XLOOKUP(I125,'Manufacturing country'!A:A,'Manufacturing country'!B:B)</v>
      </c>
    </row>
    <row r="126" spans="2:11" x14ac:dyDescent="0.35">
      <c r="B126" t="s">
        <v>29</v>
      </c>
      <c r="C126">
        <v>2016</v>
      </c>
      <c r="D126">
        <v>5000</v>
      </c>
      <c r="E126" t="s">
        <v>13</v>
      </c>
      <c r="F126" t="s">
        <v>14</v>
      </c>
      <c r="G126" t="s">
        <v>15</v>
      </c>
      <c r="H126" t="s">
        <v>50</v>
      </c>
      <c r="I126" t="str">
        <f t="shared" si="5"/>
        <v>Lexus</v>
      </c>
      <c r="J126" s="2" t="str">
        <f>_xlfn.XLOOKUP(I126,'Manufacturing country'!A:A,'Manufacturing country'!B:B)</f>
        <v>Japan</v>
      </c>
      <c r="K126" s="1" t="str">
        <f t="shared" ca="1" si="6"/>
        <v>=XLOOKUP(I126,'Manufacturing country'!A:A,'Manufacturing country'!B:B)</v>
      </c>
    </row>
    <row r="127" spans="2:11" x14ac:dyDescent="0.35">
      <c r="B127" t="s">
        <v>51</v>
      </c>
      <c r="C127">
        <v>2017</v>
      </c>
      <c r="D127">
        <v>92450</v>
      </c>
      <c r="E127" t="s">
        <v>18</v>
      </c>
      <c r="F127" t="s">
        <v>19</v>
      </c>
      <c r="G127" t="s">
        <v>20</v>
      </c>
      <c r="H127" t="s">
        <v>52</v>
      </c>
      <c r="I127" t="str">
        <f t="shared" si="5"/>
        <v>BMW</v>
      </c>
      <c r="J127" s="2" t="str">
        <f>_xlfn.XLOOKUP(I127,'Manufacturing country'!A:A,'Manufacturing country'!B:B)</f>
        <v>Germany</v>
      </c>
      <c r="K127" s="1" t="str">
        <f t="shared" ca="1" si="6"/>
        <v>=XLOOKUP(I127,'Manufacturing country'!A:A,'Manufacturing country'!B:B)</v>
      </c>
    </row>
    <row r="128" spans="2:11" x14ac:dyDescent="0.35">
      <c r="B128" t="s">
        <v>29</v>
      </c>
      <c r="C128">
        <v>2015</v>
      </c>
      <c r="D128">
        <v>130000</v>
      </c>
      <c r="E128" t="s">
        <v>23</v>
      </c>
      <c r="F128" t="s">
        <v>14</v>
      </c>
      <c r="G128" t="s">
        <v>53</v>
      </c>
      <c r="H128" t="s">
        <v>54</v>
      </c>
      <c r="I128" t="str">
        <f t="shared" si="5"/>
        <v>Lexus</v>
      </c>
      <c r="J128" s="2" t="str">
        <f>_xlfn.XLOOKUP(I128,'Manufacturing country'!A:A,'Manufacturing country'!B:B)</f>
        <v>Japan</v>
      </c>
      <c r="K128" s="1" t="str">
        <f t="shared" ca="1" si="6"/>
        <v>=XLOOKUP(I128,'Manufacturing country'!A:A,'Manufacturing country'!B:B)</v>
      </c>
    </row>
    <row r="130" spans="2:11" x14ac:dyDescent="0.35">
      <c r="B130" s="4" t="s">
        <v>94</v>
      </c>
    </row>
    <row r="131" spans="2:11" x14ac:dyDescent="0.35">
      <c r="B131" s="5" t="s">
        <v>95</v>
      </c>
    </row>
    <row r="132" spans="2:11" x14ac:dyDescent="0.35">
      <c r="B132" s="5"/>
    </row>
    <row r="133" spans="2:11" x14ac:dyDescent="0.35">
      <c r="B133" s="5" t="s">
        <v>96</v>
      </c>
    </row>
    <row r="134" spans="2:11" x14ac:dyDescent="0.35">
      <c r="B134" s="5"/>
    </row>
    <row r="135" spans="2:11" x14ac:dyDescent="0.35">
      <c r="B135" s="1" t="s">
        <v>5</v>
      </c>
      <c r="C135" s="1" t="s">
        <v>6</v>
      </c>
      <c r="D135" s="1" t="s">
        <v>7</v>
      </c>
      <c r="E135" s="1" t="s">
        <v>8</v>
      </c>
      <c r="F135" s="1" t="s">
        <v>9</v>
      </c>
      <c r="G135" s="1" t="s">
        <v>10</v>
      </c>
      <c r="H135" s="1" t="s">
        <v>11</v>
      </c>
      <c r="I135" s="1" t="s">
        <v>73</v>
      </c>
      <c r="J135" s="1" t="s">
        <v>56</v>
      </c>
    </row>
    <row r="136" spans="2:11" x14ac:dyDescent="0.35">
      <c r="B136" t="s">
        <v>12</v>
      </c>
      <c r="C136">
        <v>2012</v>
      </c>
      <c r="D136">
        <v>342358</v>
      </c>
      <c r="E136" t="s">
        <v>13</v>
      </c>
      <c r="F136" t="s">
        <v>14</v>
      </c>
      <c r="G136" t="s">
        <v>15</v>
      </c>
      <c r="H136" t="s">
        <v>16</v>
      </c>
      <c r="I136" t="str">
        <f>LEFT(B136,FIND(" ",B136)-1)</f>
        <v>BMW</v>
      </c>
      <c r="J136" s="2" t="str">
        <f>VLOOKUP(I136,'Manufacturing country'!A:B,2,0)</f>
        <v>Germany</v>
      </c>
      <c r="K136" s="1" t="str">
        <f ca="1">_xlfn.FORMULATEXT(J136)</f>
        <v>=VLOOKUP(I136,'Manufacturing country'!A:B,2,0)</v>
      </c>
    </row>
    <row r="137" spans="2:11" x14ac:dyDescent="0.35">
      <c r="B137" t="s">
        <v>17</v>
      </c>
      <c r="C137">
        <v>2017</v>
      </c>
      <c r="D137">
        <v>130000</v>
      </c>
      <c r="E137" t="s">
        <v>18</v>
      </c>
      <c r="F137" t="s">
        <v>19</v>
      </c>
      <c r="G137" t="s">
        <v>20</v>
      </c>
      <c r="H137" t="s">
        <v>21</v>
      </c>
      <c r="I137" t="str">
        <f t="shared" ref="I137:I153" si="7">LEFT(B137,FIND(" ",B137)-1)</f>
        <v>Audi</v>
      </c>
      <c r="J137" s="2" t="str">
        <f>VLOOKUP(I137,'Manufacturing country'!A:B,2,0)</f>
        <v>Germany</v>
      </c>
      <c r="K137" s="1" t="str">
        <f t="shared" ref="K137:K153" ca="1" si="8">_xlfn.FORMULATEXT(J137)</f>
        <v>=VLOOKUP(I137,'Manufacturing country'!A:B,2,0)</v>
      </c>
    </row>
    <row r="138" spans="2:11" x14ac:dyDescent="0.35">
      <c r="B138" t="s">
        <v>22</v>
      </c>
      <c r="C138">
        <v>2020</v>
      </c>
      <c r="D138">
        <v>92450</v>
      </c>
      <c r="E138" t="s">
        <v>23</v>
      </c>
      <c r="F138" t="s">
        <v>14</v>
      </c>
      <c r="G138" t="s">
        <v>24</v>
      </c>
      <c r="H138" t="s">
        <v>25</v>
      </c>
      <c r="I138" t="str">
        <f t="shared" si="7"/>
        <v>Mercedes</v>
      </c>
      <c r="J138" s="2" t="str">
        <f>VLOOKUP(I138,'Manufacturing country'!A:B,2,0)</f>
        <v>Germany</v>
      </c>
      <c r="K138" s="1" t="str">
        <f t="shared" ca="1" si="8"/>
        <v>=VLOOKUP(I138,'Manufacturing country'!A:B,2,0)</v>
      </c>
    </row>
    <row r="139" spans="2:11" x14ac:dyDescent="0.35">
      <c r="B139" t="s">
        <v>12</v>
      </c>
      <c r="C139">
        <v>2020</v>
      </c>
      <c r="D139">
        <v>76240</v>
      </c>
      <c r="E139" t="s">
        <v>13</v>
      </c>
      <c r="F139" t="s">
        <v>14</v>
      </c>
      <c r="G139" t="s">
        <v>20</v>
      </c>
      <c r="H139" t="s">
        <v>26</v>
      </c>
      <c r="I139" t="str">
        <f t="shared" si="7"/>
        <v>BMW</v>
      </c>
      <c r="J139" s="2" t="str">
        <f>VLOOKUP(I139,'Manufacturing country'!A:B,2,0)</f>
        <v>Germany</v>
      </c>
      <c r="K139" s="1" t="str">
        <f t="shared" ca="1" si="8"/>
        <v>=VLOOKUP(I139,'Manufacturing country'!A:B,2,0)</v>
      </c>
    </row>
    <row r="140" spans="2:11" x14ac:dyDescent="0.35">
      <c r="B140" t="s">
        <v>27</v>
      </c>
      <c r="C140">
        <v>2021</v>
      </c>
      <c r="D140">
        <v>17283</v>
      </c>
      <c r="E140" t="s">
        <v>13</v>
      </c>
      <c r="F140" t="s">
        <v>19</v>
      </c>
      <c r="G140" t="s">
        <v>15</v>
      </c>
      <c r="H140" t="s">
        <v>28</v>
      </c>
      <c r="I140" t="str">
        <f t="shared" si="7"/>
        <v>BMW</v>
      </c>
      <c r="J140" s="2" t="str">
        <f>VLOOKUP(I140,'Manufacturing country'!A:B,2,0)</f>
        <v>Germany</v>
      </c>
      <c r="K140" s="1" t="str">
        <f t="shared" ca="1" si="8"/>
        <v>=VLOOKUP(I140,'Manufacturing country'!A:B,2,0)</v>
      </c>
    </row>
    <row r="141" spans="2:11" x14ac:dyDescent="0.35">
      <c r="B141" t="s">
        <v>29</v>
      </c>
      <c r="C141">
        <v>2020</v>
      </c>
      <c r="D141">
        <v>98312</v>
      </c>
      <c r="E141" t="s">
        <v>18</v>
      </c>
      <c r="F141" t="s">
        <v>14</v>
      </c>
      <c r="G141" t="s">
        <v>24</v>
      </c>
      <c r="H141" t="s">
        <v>30</v>
      </c>
      <c r="I141" t="str">
        <f t="shared" si="7"/>
        <v>Lexus</v>
      </c>
      <c r="J141" s="2" t="str">
        <f>VLOOKUP(I141,'Manufacturing country'!A:B,2,0)</f>
        <v>Japan</v>
      </c>
      <c r="K141" s="1" t="str">
        <f t="shared" ca="1" si="8"/>
        <v>=VLOOKUP(I141,'Manufacturing country'!A:B,2,0)</v>
      </c>
    </row>
    <row r="142" spans="2:11" x14ac:dyDescent="0.35">
      <c r="B142" t="s">
        <v>27</v>
      </c>
      <c r="C142">
        <v>2018</v>
      </c>
      <c r="D142">
        <v>156784</v>
      </c>
      <c r="E142" t="s">
        <v>31</v>
      </c>
      <c r="F142" t="s">
        <v>19</v>
      </c>
      <c r="G142" t="s">
        <v>24</v>
      </c>
      <c r="H142" t="s">
        <v>32</v>
      </c>
      <c r="I142" t="str">
        <f t="shared" si="7"/>
        <v>BMW</v>
      </c>
      <c r="J142" s="2" t="str">
        <f>VLOOKUP(I142,'Manufacturing country'!A:B,2,0)</f>
        <v>Germany</v>
      </c>
      <c r="K142" s="1" t="str">
        <f t="shared" ca="1" si="8"/>
        <v>=VLOOKUP(I142,'Manufacturing country'!A:B,2,0)</v>
      </c>
    </row>
    <row r="143" spans="2:11" x14ac:dyDescent="0.35">
      <c r="B143" t="s">
        <v>12</v>
      </c>
      <c r="C143">
        <v>2019</v>
      </c>
      <c r="D143">
        <v>52034</v>
      </c>
      <c r="E143" t="s">
        <v>33</v>
      </c>
      <c r="F143" t="s">
        <v>14</v>
      </c>
      <c r="G143" t="s">
        <v>15</v>
      </c>
      <c r="H143" t="s">
        <v>34</v>
      </c>
      <c r="I143" t="str">
        <f t="shared" si="7"/>
        <v>BMW</v>
      </c>
      <c r="J143" s="2" t="str">
        <f>VLOOKUP(I143,'Manufacturing country'!A:B,2,0)</f>
        <v>Germany</v>
      </c>
      <c r="K143" s="1" t="str">
        <f t="shared" ca="1" si="8"/>
        <v>=VLOOKUP(I143,'Manufacturing country'!A:B,2,0)</v>
      </c>
    </row>
    <row r="144" spans="2:11" x14ac:dyDescent="0.35">
      <c r="B144" t="s">
        <v>35</v>
      </c>
      <c r="C144">
        <v>2011</v>
      </c>
      <c r="D144">
        <v>205204</v>
      </c>
      <c r="E144" t="s">
        <v>18</v>
      </c>
      <c r="F144" t="s">
        <v>14</v>
      </c>
      <c r="G144" t="s">
        <v>20</v>
      </c>
      <c r="H144" t="s">
        <v>36</v>
      </c>
      <c r="I144" t="str">
        <f t="shared" si="7"/>
        <v>BMW</v>
      </c>
      <c r="J144" s="2" t="str">
        <f>VLOOKUP(I144,'Manufacturing country'!A:B,2,0)</f>
        <v>Germany</v>
      </c>
      <c r="K144" s="1" t="str">
        <f t="shared" ca="1" si="8"/>
        <v>=VLOOKUP(I144,'Manufacturing country'!A:B,2,0)</v>
      </c>
    </row>
    <row r="145" spans="2:11" x14ac:dyDescent="0.35">
      <c r="B145" t="s">
        <v>22</v>
      </c>
      <c r="C145">
        <v>2014</v>
      </c>
      <c r="D145">
        <v>152985</v>
      </c>
      <c r="E145" t="s">
        <v>23</v>
      </c>
      <c r="F145" t="s">
        <v>14</v>
      </c>
      <c r="G145" t="s">
        <v>20</v>
      </c>
      <c r="H145" t="s">
        <v>37</v>
      </c>
      <c r="I145" t="str">
        <f t="shared" si="7"/>
        <v>Mercedes</v>
      </c>
      <c r="J145" s="2" t="str">
        <f>VLOOKUP(I145,'Manufacturing country'!A:B,2,0)</f>
        <v>Germany</v>
      </c>
      <c r="K145" s="1" t="str">
        <f t="shared" ca="1" si="8"/>
        <v>=VLOOKUP(I145,'Manufacturing country'!A:B,2,0)</v>
      </c>
    </row>
    <row r="146" spans="2:11" x14ac:dyDescent="0.35">
      <c r="B146" t="s">
        <v>38</v>
      </c>
      <c r="C146">
        <v>2018</v>
      </c>
      <c r="D146">
        <v>76429</v>
      </c>
      <c r="E146" t="s">
        <v>39</v>
      </c>
      <c r="F146" t="s">
        <v>14</v>
      </c>
      <c r="G146" t="s">
        <v>15</v>
      </c>
      <c r="H146" t="s">
        <v>40</v>
      </c>
      <c r="I146" t="str">
        <f t="shared" si="7"/>
        <v>Tesla</v>
      </c>
      <c r="J146" s="2" t="str">
        <f>VLOOKUP(I146,'Manufacturing country'!A:B,2,0)</f>
        <v>USA</v>
      </c>
      <c r="K146" s="1" t="str">
        <f t="shared" ca="1" si="8"/>
        <v>=VLOOKUP(I146,'Manufacturing country'!A:B,2,0)</v>
      </c>
    </row>
    <row r="147" spans="2:11" x14ac:dyDescent="0.35">
      <c r="B147" t="s">
        <v>41</v>
      </c>
      <c r="C147">
        <v>2013</v>
      </c>
      <c r="D147">
        <v>254028</v>
      </c>
      <c r="E147" t="s">
        <v>42</v>
      </c>
      <c r="F147" t="s">
        <v>19</v>
      </c>
      <c r="G147" t="s">
        <v>20</v>
      </c>
      <c r="H147" t="s">
        <v>43</v>
      </c>
      <c r="I147" t="str">
        <f t="shared" si="7"/>
        <v>Volvo</v>
      </c>
      <c r="J147" s="2" t="str">
        <f>VLOOKUP(I147,'Manufacturing country'!A:B,2,0)</f>
        <v>Sweden</v>
      </c>
      <c r="K147" s="1" t="str">
        <f t="shared" ca="1" si="8"/>
        <v>=VLOOKUP(I147,'Manufacturing country'!A:B,2,0)</v>
      </c>
    </row>
    <row r="148" spans="2:11" x14ac:dyDescent="0.35">
      <c r="B148" t="s">
        <v>44</v>
      </c>
      <c r="C148">
        <v>2014</v>
      </c>
      <c r="D148">
        <v>45832</v>
      </c>
      <c r="E148" t="s">
        <v>13</v>
      </c>
      <c r="F148" t="s">
        <v>19</v>
      </c>
      <c r="G148" t="s">
        <v>15</v>
      </c>
      <c r="H148" t="s">
        <v>45</v>
      </c>
      <c r="I148" t="str">
        <f t="shared" si="7"/>
        <v>Audi</v>
      </c>
      <c r="J148" s="2" t="str">
        <f>VLOOKUP(I148,'Manufacturing country'!A:B,2,0)</f>
        <v>Germany</v>
      </c>
      <c r="K148" s="1" t="str">
        <f t="shared" ca="1" si="8"/>
        <v>=VLOOKUP(I148,'Manufacturing country'!A:B,2,0)</v>
      </c>
    </row>
    <row r="149" spans="2:11" x14ac:dyDescent="0.35">
      <c r="B149" t="s">
        <v>46</v>
      </c>
      <c r="C149">
        <v>2018</v>
      </c>
      <c r="D149">
        <v>67591</v>
      </c>
      <c r="E149" t="s">
        <v>31</v>
      </c>
      <c r="F149" t="s">
        <v>14</v>
      </c>
      <c r="G149" t="s">
        <v>20</v>
      </c>
      <c r="H149" t="s">
        <v>47</v>
      </c>
      <c r="I149" t="str">
        <f t="shared" si="7"/>
        <v>Cadillac</v>
      </c>
      <c r="J149" s="2" t="str">
        <f>VLOOKUP(I149,'Manufacturing country'!A:B,2,0)</f>
        <v>USA</v>
      </c>
      <c r="K149" s="1" t="str">
        <f t="shared" ca="1" si="8"/>
        <v>=VLOOKUP(I149,'Manufacturing country'!A:B,2,0)</v>
      </c>
    </row>
    <row r="150" spans="2:11" x14ac:dyDescent="0.35">
      <c r="B150" t="s">
        <v>48</v>
      </c>
      <c r="C150">
        <v>2013</v>
      </c>
      <c r="D150">
        <v>85320</v>
      </c>
      <c r="E150" t="s">
        <v>13</v>
      </c>
      <c r="F150" t="s">
        <v>14</v>
      </c>
      <c r="G150" t="s">
        <v>20</v>
      </c>
      <c r="H150" t="s">
        <v>49</v>
      </c>
      <c r="I150" t="str">
        <f t="shared" si="7"/>
        <v>Jaguar</v>
      </c>
      <c r="J150" s="2" t="str">
        <f>VLOOKUP(I150,'Manufacturing country'!A:B,2,0)</f>
        <v>UK</v>
      </c>
      <c r="K150" s="1" t="str">
        <f t="shared" ca="1" si="8"/>
        <v>=VLOOKUP(I150,'Manufacturing country'!A:B,2,0)</v>
      </c>
    </row>
    <row r="151" spans="2:11" x14ac:dyDescent="0.35">
      <c r="B151" t="s">
        <v>29</v>
      </c>
      <c r="C151">
        <v>2016</v>
      </c>
      <c r="D151">
        <v>5000</v>
      </c>
      <c r="E151" t="s">
        <v>13</v>
      </c>
      <c r="F151" t="s">
        <v>14</v>
      </c>
      <c r="G151" t="s">
        <v>15</v>
      </c>
      <c r="H151" t="s">
        <v>50</v>
      </c>
      <c r="I151" t="str">
        <f t="shared" si="7"/>
        <v>Lexus</v>
      </c>
      <c r="J151" s="2" t="str">
        <f>VLOOKUP(I151,'Manufacturing country'!A:B,2,0)</f>
        <v>Japan</v>
      </c>
      <c r="K151" s="1" t="str">
        <f t="shared" ca="1" si="8"/>
        <v>=VLOOKUP(I151,'Manufacturing country'!A:B,2,0)</v>
      </c>
    </row>
    <row r="152" spans="2:11" x14ac:dyDescent="0.35">
      <c r="B152" t="s">
        <v>51</v>
      </c>
      <c r="C152">
        <v>2017</v>
      </c>
      <c r="D152">
        <v>92450</v>
      </c>
      <c r="E152" t="s">
        <v>18</v>
      </c>
      <c r="F152" t="s">
        <v>19</v>
      </c>
      <c r="G152" t="s">
        <v>20</v>
      </c>
      <c r="H152" t="s">
        <v>52</v>
      </c>
      <c r="I152" t="str">
        <f t="shared" si="7"/>
        <v>BMW</v>
      </c>
      <c r="J152" s="2" t="str">
        <f>VLOOKUP(I152,'Manufacturing country'!A:B,2,0)</f>
        <v>Germany</v>
      </c>
      <c r="K152" s="1" t="str">
        <f t="shared" ca="1" si="8"/>
        <v>=VLOOKUP(I152,'Manufacturing country'!A:B,2,0)</v>
      </c>
    </row>
    <row r="153" spans="2:11" x14ac:dyDescent="0.35">
      <c r="B153" t="s">
        <v>29</v>
      </c>
      <c r="C153">
        <v>2015</v>
      </c>
      <c r="D153">
        <v>130000</v>
      </c>
      <c r="E153" t="s">
        <v>23</v>
      </c>
      <c r="F153" t="s">
        <v>14</v>
      </c>
      <c r="G153" t="s">
        <v>53</v>
      </c>
      <c r="H153" t="s">
        <v>54</v>
      </c>
      <c r="I153" t="str">
        <f t="shared" si="7"/>
        <v>Lexus</v>
      </c>
      <c r="J153" s="2" t="str">
        <f>VLOOKUP(I153,'Manufacturing country'!A:B,2,0)</f>
        <v>Japan</v>
      </c>
      <c r="K153" s="1" t="str">
        <f t="shared" ca="1" si="8"/>
        <v>=VLOOKUP(I153,'Manufacturing country'!A:B,2,0)</v>
      </c>
    </row>
    <row r="154" spans="2:11" x14ac:dyDescent="0.35">
      <c r="B154" s="5"/>
    </row>
    <row r="155" spans="2:11" x14ac:dyDescent="0.35">
      <c r="B155" s="5"/>
    </row>
    <row r="156" spans="2:11" x14ac:dyDescent="0.35">
      <c r="B156" s="4" t="s">
        <v>97</v>
      </c>
    </row>
    <row r="157" spans="2:11" x14ac:dyDescent="0.35">
      <c r="B157" s="4" t="s">
        <v>98</v>
      </c>
    </row>
    <row r="159" spans="2:11" x14ac:dyDescent="0.35">
      <c r="B159" t="s">
        <v>99</v>
      </c>
    </row>
    <row r="161" spans="1:4" x14ac:dyDescent="0.35">
      <c r="B161" s="1" t="s">
        <v>56</v>
      </c>
      <c r="C161" s="1" t="s">
        <v>80</v>
      </c>
    </row>
    <row r="162" spans="1:4" x14ac:dyDescent="0.35">
      <c r="B162" t="str" cm="1">
        <f t="array" ref="B162:B166">_xlfn.UNIQUE(J111:J128)</f>
        <v>Germany</v>
      </c>
      <c r="C162" s="2">
        <f>COUNTIF($J$111:$J$128,B162)</f>
        <v>11</v>
      </c>
      <c r="D162" s="1" t="str">
        <f ca="1">_xlfn.FORMULATEXT(C162)</f>
        <v>=COUNTIF($J$111:$J$128,B162)</v>
      </c>
    </row>
    <row r="163" spans="1:4" x14ac:dyDescent="0.35">
      <c r="B163" t="str">
        <v>Japan</v>
      </c>
      <c r="C163" s="2">
        <f t="shared" ref="C163:C166" si="9">COUNTIF($J$111:$J$128,B163)</f>
        <v>3</v>
      </c>
      <c r="D163" s="1" t="str">
        <f t="shared" ref="D163:D166" ca="1" si="10">_xlfn.FORMULATEXT(C163)</f>
        <v>=COUNTIF($J$111:$J$128,B163)</v>
      </c>
    </row>
    <row r="164" spans="1:4" x14ac:dyDescent="0.35">
      <c r="B164" t="str">
        <v>USA</v>
      </c>
      <c r="C164" s="2">
        <f t="shared" si="9"/>
        <v>2</v>
      </c>
      <c r="D164" s="1" t="str">
        <f t="shared" ca="1" si="10"/>
        <v>=COUNTIF($J$111:$J$128,B164)</v>
      </c>
    </row>
    <row r="165" spans="1:4" x14ac:dyDescent="0.35">
      <c r="B165" t="str">
        <v>Sweden</v>
      </c>
      <c r="C165" s="2">
        <f t="shared" si="9"/>
        <v>1</v>
      </c>
      <c r="D165" s="1" t="str">
        <f t="shared" ca="1" si="10"/>
        <v>=COUNTIF($J$111:$J$128,B165)</v>
      </c>
    </row>
    <row r="166" spans="1:4" x14ac:dyDescent="0.35">
      <c r="B166" t="str">
        <v>UK</v>
      </c>
      <c r="C166" s="2">
        <f t="shared" si="9"/>
        <v>1</v>
      </c>
      <c r="D166" s="1" t="str">
        <f t="shared" ca="1" si="10"/>
        <v>=COUNTIF($J$111:$J$128,B166)</v>
      </c>
    </row>
    <row r="170" spans="1:4" x14ac:dyDescent="0.35">
      <c r="A170">
        <v>3</v>
      </c>
      <c r="B170" t="s">
        <v>3</v>
      </c>
    </row>
    <row r="172" spans="1:4" x14ac:dyDescent="0.35">
      <c r="B172" t="s">
        <v>100</v>
      </c>
    </row>
    <row r="174" spans="1:4" x14ac:dyDescent="0.35">
      <c r="B174" s="1" t="s">
        <v>8</v>
      </c>
      <c r="C174" s="1" t="s">
        <v>80</v>
      </c>
    </row>
    <row r="175" spans="1:4" x14ac:dyDescent="0.35">
      <c r="B175" t="str" cm="1">
        <f t="array" ref="B175:B181">_xlfn.UNIQUE(E111:E128)</f>
        <v>White</v>
      </c>
      <c r="C175">
        <f>COUNTIF($E$111:$E$128,B175)</f>
        <v>6</v>
      </c>
    </row>
    <row r="176" spans="1:4" x14ac:dyDescent="0.35">
      <c r="B176" t="str">
        <v>Red</v>
      </c>
      <c r="C176">
        <f t="shared" ref="C176:C181" si="11">COUNTIF($E$111:$E$128,B176)</f>
        <v>4</v>
      </c>
    </row>
    <row r="177" spans="2:3" x14ac:dyDescent="0.35">
      <c r="B177" t="str">
        <v>Black</v>
      </c>
      <c r="C177">
        <f t="shared" si="11"/>
        <v>3</v>
      </c>
    </row>
    <row r="178" spans="2:3" x14ac:dyDescent="0.35">
      <c r="B178" t="str">
        <v>Blue</v>
      </c>
      <c r="C178">
        <f t="shared" si="11"/>
        <v>2</v>
      </c>
    </row>
    <row r="179" spans="2:3" x14ac:dyDescent="0.35">
      <c r="B179" t="str">
        <v xml:space="preserve">Blue </v>
      </c>
      <c r="C179">
        <f t="shared" si="11"/>
        <v>1</v>
      </c>
    </row>
    <row r="180" spans="2:3" x14ac:dyDescent="0.35">
      <c r="B180" t="str">
        <v>Yellow</v>
      </c>
      <c r="C180">
        <f t="shared" si="11"/>
        <v>1</v>
      </c>
    </row>
    <row r="181" spans="2:3" x14ac:dyDescent="0.35">
      <c r="B181" t="str">
        <v xml:space="preserve"> Black</v>
      </c>
      <c r="C181">
        <f t="shared" si="11"/>
        <v>1</v>
      </c>
    </row>
    <row r="183" spans="2:3" x14ac:dyDescent="0.35">
      <c r="B183" t="s">
        <v>101</v>
      </c>
    </row>
    <row r="184" spans="2:3" x14ac:dyDescent="0.35">
      <c r="B184" t="s">
        <v>102</v>
      </c>
    </row>
    <row r="192" spans="2:3" x14ac:dyDescent="0.35">
      <c r="B192" t="s">
        <v>103</v>
      </c>
    </row>
    <row r="193" spans="1:11" x14ac:dyDescent="0.35">
      <c r="B193" t="s">
        <v>104</v>
      </c>
    </row>
    <row r="199" spans="1:11" x14ac:dyDescent="0.35">
      <c r="B199" t="s">
        <v>105</v>
      </c>
    </row>
    <row r="201" spans="1:11" x14ac:dyDescent="0.35">
      <c r="B201" t="s">
        <v>106</v>
      </c>
    </row>
    <row r="202" spans="1:11" x14ac:dyDescent="0.35">
      <c r="A202" t="s">
        <v>107</v>
      </c>
      <c r="B202" t="s">
        <v>108</v>
      </c>
    </row>
    <row r="203" spans="1:11" x14ac:dyDescent="0.35">
      <c r="A203" t="s">
        <v>107</v>
      </c>
      <c r="B203" t="s">
        <v>109</v>
      </c>
    </row>
    <row r="205" spans="1:11" x14ac:dyDescent="0.35">
      <c r="B205" s="1" t="s">
        <v>5</v>
      </c>
      <c r="C205" s="1" t="s">
        <v>6</v>
      </c>
      <c r="D205" s="1" t="s">
        <v>7</v>
      </c>
      <c r="E205" s="1" t="s">
        <v>8</v>
      </c>
      <c r="F205" s="1" t="s">
        <v>9</v>
      </c>
      <c r="G205" s="1" t="s">
        <v>10</v>
      </c>
      <c r="H205" s="1" t="s">
        <v>11</v>
      </c>
      <c r="I205" s="1" t="s">
        <v>73</v>
      </c>
      <c r="J205" s="1" t="s">
        <v>110</v>
      </c>
    </row>
    <row r="206" spans="1:11" x14ac:dyDescent="0.35">
      <c r="B206" t="s">
        <v>12</v>
      </c>
      <c r="C206">
        <v>2012</v>
      </c>
      <c r="D206">
        <v>342358</v>
      </c>
      <c r="E206" t="s">
        <v>13</v>
      </c>
      <c r="F206" t="s">
        <v>14</v>
      </c>
      <c r="G206" t="s">
        <v>15</v>
      </c>
      <c r="H206" t="s">
        <v>16</v>
      </c>
      <c r="I206" t="str">
        <f>LEFT(B206,FIND(" ",B206)-1)</f>
        <v>BMW</v>
      </c>
      <c r="J206" s="2" t="str">
        <f>TRIM(E206)</f>
        <v>White</v>
      </c>
      <c r="K206" s="1" t="str">
        <f ca="1">_xlfn.FORMULATEXT(J206)</f>
        <v>=TRIM(E206)</v>
      </c>
    </row>
    <row r="207" spans="1:11" x14ac:dyDescent="0.35">
      <c r="B207" t="s">
        <v>17</v>
      </c>
      <c r="C207">
        <v>2017</v>
      </c>
      <c r="D207">
        <v>130000</v>
      </c>
      <c r="E207" t="s">
        <v>18</v>
      </c>
      <c r="F207" t="s">
        <v>19</v>
      </c>
      <c r="G207" t="s">
        <v>20</v>
      </c>
      <c r="H207" t="s">
        <v>21</v>
      </c>
      <c r="I207" t="str">
        <f t="shared" ref="I207:I223" si="12">LEFT(B207,FIND(" ",B207)-1)</f>
        <v>Audi</v>
      </c>
      <c r="J207" s="2" t="str">
        <f t="shared" ref="J207:J223" si="13">TRIM(E207)</f>
        <v>Red</v>
      </c>
      <c r="K207" s="1" t="str">
        <f t="shared" ref="K207:K223" ca="1" si="14">_xlfn.FORMULATEXT(J207)</f>
        <v>=TRIM(E207)</v>
      </c>
    </row>
    <row r="208" spans="1:11" x14ac:dyDescent="0.35">
      <c r="B208" t="s">
        <v>22</v>
      </c>
      <c r="C208">
        <v>2020</v>
      </c>
      <c r="D208">
        <v>92450</v>
      </c>
      <c r="E208" t="s">
        <v>23</v>
      </c>
      <c r="F208" t="s">
        <v>14</v>
      </c>
      <c r="G208" t="s">
        <v>24</v>
      </c>
      <c r="H208" t="s">
        <v>25</v>
      </c>
      <c r="I208" t="str">
        <f t="shared" si="12"/>
        <v>Mercedes</v>
      </c>
      <c r="J208" s="2" t="str">
        <f t="shared" si="13"/>
        <v>Black</v>
      </c>
      <c r="K208" s="1" t="str">
        <f t="shared" ca="1" si="14"/>
        <v>=TRIM(E208)</v>
      </c>
    </row>
    <row r="209" spans="2:11" x14ac:dyDescent="0.35">
      <c r="B209" t="s">
        <v>12</v>
      </c>
      <c r="C209">
        <v>2020</v>
      </c>
      <c r="D209">
        <v>76240</v>
      </c>
      <c r="E209" t="s">
        <v>13</v>
      </c>
      <c r="F209" t="s">
        <v>14</v>
      </c>
      <c r="G209" t="s">
        <v>20</v>
      </c>
      <c r="H209" t="s">
        <v>26</v>
      </c>
      <c r="I209" t="str">
        <f t="shared" si="12"/>
        <v>BMW</v>
      </c>
      <c r="J209" s="2" t="str">
        <f t="shared" si="13"/>
        <v>White</v>
      </c>
      <c r="K209" s="1" t="str">
        <f t="shared" ca="1" si="14"/>
        <v>=TRIM(E209)</v>
      </c>
    </row>
    <row r="210" spans="2:11" x14ac:dyDescent="0.35">
      <c r="B210" t="s">
        <v>27</v>
      </c>
      <c r="C210">
        <v>2021</v>
      </c>
      <c r="D210">
        <v>17283</v>
      </c>
      <c r="E210" t="s">
        <v>13</v>
      </c>
      <c r="F210" t="s">
        <v>19</v>
      </c>
      <c r="G210" t="s">
        <v>15</v>
      </c>
      <c r="H210" t="s">
        <v>28</v>
      </c>
      <c r="I210" t="str">
        <f t="shared" si="12"/>
        <v>BMW</v>
      </c>
      <c r="J210" s="2" t="str">
        <f t="shared" si="13"/>
        <v>White</v>
      </c>
      <c r="K210" s="1" t="str">
        <f t="shared" ca="1" si="14"/>
        <v>=TRIM(E210)</v>
      </c>
    </row>
    <row r="211" spans="2:11" x14ac:dyDescent="0.35">
      <c r="B211" t="s">
        <v>29</v>
      </c>
      <c r="C211">
        <v>2020</v>
      </c>
      <c r="D211">
        <v>98312</v>
      </c>
      <c r="E211" t="s">
        <v>18</v>
      </c>
      <c r="F211" t="s">
        <v>14</v>
      </c>
      <c r="G211" t="s">
        <v>24</v>
      </c>
      <c r="H211" t="s">
        <v>30</v>
      </c>
      <c r="I211" t="str">
        <f t="shared" si="12"/>
        <v>Lexus</v>
      </c>
      <c r="J211" s="2" t="str">
        <f t="shared" si="13"/>
        <v>Red</v>
      </c>
      <c r="K211" s="1" t="str">
        <f t="shared" ca="1" si="14"/>
        <v>=TRIM(E211)</v>
      </c>
    </row>
    <row r="212" spans="2:11" x14ac:dyDescent="0.35">
      <c r="B212" t="s">
        <v>27</v>
      </c>
      <c r="C212">
        <v>2018</v>
      </c>
      <c r="D212">
        <v>156784</v>
      </c>
      <c r="E212" t="s">
        <v>31</v>
      </c>
      <c r="F212" t="s">
        <v>19</v>
      </c>
      <c r="G212" t="s">
        <v>24</v>
      </c>
      <c r="H212" t="s">
        <v>32</v>
      </c>
      <c r="I212" t="str">
        <f t="shared" si="12"/>
        <v>BMW</v>
      </c>
      <c r="J212" s="2" t="str">
        <f t="shared" si="13"/>
        <v>Blue</v>
      </c>
      <c r="K212" s="1" t="str">
        <f t="shared" ca="1" si="14"/>
        <v>=TRIM(E212)</v>
      </c>
    </row>
    <row r="213" spans="2:11" x14ac:dyDescent="0.35">
      <c r="B213" t="s">
        <v>12</v>
      </c>
      <c r="C213">
        <v>2019</v>
      </c>
      <c r="D213">
        <v>52034</v>
      </c>
      <c r="E213" t="s">
        <v>33</v>
      </c>
      <c r="F213" t="s">
        <v>14</v>
      </c>
      <c r="G213" t="s">
        <v>15</v>
      </c>
      <c r="H213" t="s">
        <v>34</v>
      </c>
      <c r="I213" t="str">
        <f t="shared" si="12"/>
        <v>BMW</v>
      </c>
      <c r="J213" s="2" t="str">
        <f t="shared" si="13"/>
        <v>Blue</v>
      </c>
      <c r="K213" s="1" t="str">
        <f t="shared" ca="1" si="14"/>
        <v>=TRIM(E213)</v>
      </c>
    </row>
    <row r="214" spans="2:11" x14ac:dyDescent="0.35">
      <c r="B214" t="s">
        <v>35</v>
      </c>
      <c r="C214">
        <v>2011</v>
      </c>
      <c r="D214">
        <v>205204</v>
      </c>
      <c r="E214" t="s">
        <v>18</v>
      </c>
      <c r="F214" t="s">
        <v>14</v>
      </c>
      <c r="G214" t="s">
        <v>20</v>
      </c>
      <c r="H214" t="s">
        <v>36</v>
      </c>
      <c r="I214" t="str">
        <f t="shared" si="12"/>
        <v>BMW</v>
      </c>
      <c r="J214" s="2" t="str">
        <f t="shared" si="13"/>
        <v>Red</v>
      </c>
      <c r="K214" s="1" t="str">
        <f t="shared" ca="1" si="14"/>
        <v>=TRIM(E214)</v>
      </c>
    </row>
    <row r="215" spans="2:11" x14ac:dyDescent="0.35">
      <c r="B215" t="s">
        <v>22</v>
      </c>
      <c r="C215">
        <v>2014</v>
      </c>
      <c r="D215">
        <v>152985</v>
      </c>
      <c r="E215" t="s">
        <v>23</v>
      </c>
      <c r="F215" t="s">
        <v>14</v>
      </c>
      <c r="G215" t="s">
        <v>20</v>
      </c>
      <c r="H215" t="s">
        <v>37</v>
      </c>
      <c r="I215" t="str">
        <f t="shared" si="12"/>
        <v>Mercedes</v>
      </c>
      <c r="J215" s="2" t="str">
        <f t="shared" si="13"/>
        <v>Black</v>
      </c>
      <c r="K215" s="1" t="str">
        <f t="shared" ca="1" si="14"/>
        <v>=TRIM(E215)</v>
      </c>
    </row>
    <row r="216" spans="2:11" x14ac:dyDescent="0.35">
      <c r="B216" t="s">
        <v>38</v>
      </c>
      <c r="C216">
        <v>2018</v>
      </c>
      <c r="D216">
        <v>76429</v>
      </c>
      <c r="E216" t="s">
        <v>39</v>
      </c>
      <c r="F216" t="s">
        <v>14</v>
      </c>
      <c r="G216" t="s">
        <v>15</v>
      </c>
      <c r="H216" t="s">
        <v>40</v>
      </c>
      <c r="I216" t="str">
        <f t="shared" si="12"/>
        <v>Tesla</v>
      </c>
      <c r="J216" s="2" t="str">
        <f t="shared" si="13"/>
        <v>Yellow</v>
      </c>
      <c r="K216" s="1" t="str">
        <f t="shared" ca="1" si="14"/>
        <v>=TRIM(E216)</v>
      </c>
    </row>
    <row r="217" spans="2:11" x14ac:dyDescent="0.35">
      <c r="B217" t="s">
        <v>41</v>
      </c>
      <c r="C217">
        <v>2013</v>
      </c>
      <c r="D217">
        <v>254028</v>
      </c>
      <c r="E217" t="s">
        <v>42</v>
      </c>
      <c r="F217" t="s">
        <v>19</v>
      </c>
      <c r="G217" t="s">
        <v>20</v>
      </c>
      <c r="H217" t="s">
        <v>43</v>
      </c>
      <c r="I217" t="str">
        <f t="shared" si="12"/>
        <v>Volvo</v>
      </c>
      <c r="J217" s="2" t="str">
        <f t="shared" si="13"/>
        <v>Black</v>
      </c>
      <c r="K217" s="1" t="str">
        <f t="shared" ca="1" si="14"/>
        <v>=TRIM(E217)</v>
      </c>
    </row>
    <row r="218" spans="2:11" x14ac:dyDescent="0.35">
      <c r="B218" t="s">
        <v>44</v>
      </c>
      <c r="C218">
        <v>2014</v>
      </c>
      <c r="D218">
        <v>45832</v>
      </c>
      <c r="E218" t="s">
        <v>13</v>
      </c>
      <c r="F218" t="s">
        <v>19</v>
      </c>
      <c r="G218" t="s">
        <v>15</v>
      </c>
      <c r="H218" t="s">
        <v>45</v>
      </c>
      <c r="I218" t="str">
        <f t="shared" si="12"/>
        <v>Audi</v>
      </c>
      <c r="J218" s="2" t="str">
        <f t="shared" si="13"/>
        <v>White</v>
      </c>
      <c r="K218" s="1" t="str">
        <f t="shared" ca="1" si="14"/>
        <v>=TRIM(E218)</v>
      </c>
    </row>
    <row r="219" spans="2:11" x14ac:dyDescent="0.35">
      <c r="B219" t="s">
        <v>46</v>
      </c>
      <c r="C219">
        <v>2018</v>
      </c>
      <c r="D219">
        <v>67591</v>
      </c>
      <c r="E219" t="s">
        <v>31</v>
      </c>
      <c r="F219" t="s">
        <v>14</v>
      </c>
      <c r="G219" t="s">
        <v>20</v>
      </c>
      <c r="H219" t="s">
        <v>47</v>
      </c>
      <c r="I219" t="str">
        <f t="shared" si="12"/>
        <v>Cadillac</v>
      </c>
      <c r="J219" s="2" t="str">
        <f t="shared" si="13"/>
        <v>Blue</v>
      </c>
      <c r="K219" s="1" t="str">
        <f t="shared" ca="1" si="14"/>
        <v>=TRIM(E219)</v>
      </c>
    </row>
    <row r="220" spans="2:11" x14ac:dyDescent="0.35">
      <c r="B220" t="s">
        <v>48</v>
      </c>
      <c r="C220">
        <v>2013</v>
      </c>
      <c r="D220">
        <v>85320</v>
      </c>
      <c r="E220" t="s">
        <v>13</v>
      </c>
      <c r="F220" t="s">
        <v>14</v>
      </c>
      <c r="G220" t="s">
        <v>20</v>
      </c>
      <c r="H220" t="s">
        <v>49</v>
      </c>
      <c r="I220" t="str">
        <f t="shared" si="12"/>
        <v>Jaguar</v>
      </c>
      <c r="J220" s="2" t="str">
        <f t="shared" si="13"/>
        <v>White</v>
      </c>
      <c r="K220" s="1" t="str">
        <f t="shared" ca="1" si="14"/>
        <v>=TRIM(E220)</v>
      </c>
    </row>
    <row r="221" spans="2:11" x14ac:dyDescent="0.35">
      <c r="B221" t="s">
        <v>29</v>
      </c>
      <c r="C221">
        <v>2016</v>
      </c>
      <c r="D221">
        <v>5000</v>
      </c>
      <c r="E221" t="s">
        <v>13</v>
      </c>
      <c r="F221" t="s">
        <v>14</v>
      </c>
      <c r="G221" t="s">
        <v>15</v>
      </c>
      <c r="H221" t="s">
        <v>50</v>
      </c>
      <c r="I221" t="str">
        <f t="shared" si="12"/>
        <v>Lexus</v>
      </c>
      <c r="J221" s="2" t="str">
        <f t="shared" si="13"/>
        <v>White</v>
      </c>
      <c r="K221" s="1" t="str">
        <f t="shared" ca="1" si="14"/>
        <v>=TRIM(E221)</v>
      </c>
    </row>
    <row r="222" spans="2:11" x14ac:dyDescent="0.35">
      <c r="B222" t="s">
        <v>51</v>
      </c>
      <c r="C222">
        <v>2017</v>
      </c>
      <c r="D222">
        <v>92450</v>
      </c>
      <c r="E222" t="s">
        <v>18</v>
      </c>
      <c r="F222" t="s">
        <v>19</v>
      </c>
      <c r="G222" t="s">
        <v>20</v>
      </c>
      <c r="H222" t="s">
        <v>52</v>
      </c>
      <c r="I222" t="str">
        <f t="shared" si="12"/>
        <v>BMW</v>
      </c>
      <c r="J222" s="2" t="str">
        <f t="shared" si="13"/>
        <v>Red</v>
      </c>
      <c r="K222" s="1" t="str">
        <f t="shared" ca="1" si="14"/>
        <v>=TRIM(E222)</v>
      </c>
    </row>
    <row r="223" spans="2:11" x14ac:dyDescent="0.35">
      <c r="B223" t="s">
        <v>29</v>
      </c>
      <c r="C223">
        <v>2015</v>
      </c>
      <c r="D223">
        <v>130000</v>
      </c>
      <c r="E223" t="s">
        <v>23</v>
      </c>
      <c r="F223" t="s">
        <v>14</v>
      </c>
      <c r="G223" t="s">
        <v>53</v>
      </c>
      <c r="H223" t="s">
        <v>54</v>
      </c>
      <c r="I223" t="str">
        <f t="shared" si="12"/>
        <v>Lexus</v>
      </c>
      <c r="J223" s="2" t="str">
        <f t="shared" si="13"/>
        <v>Black</v>
      </c>
      <c r="K223" s="1" t="str">
        <f t="shared" ca="1" si="14"/>
        <v>=TRIM(E223)</v>
      </c>
    </row>
    <row r="225" spans="1:3" x14ac:dyDescent="0.35">
      <c r="B225" t="s">
        <v>111</v>
      </c>
    </row>
    <row r="227" spans="1:3" x14ac:dyDescent="0.35">
      <c r="B227" s="1" t="s">
        <v>8</v>
      </c>
      <c r="C227" s="1" t="s">
        <v>80</v>
      </c>
    </row>
    <row r="228" spans="1:3" x14ac:dyDescent="0.35">
      <c r="B228" t="str" cm="1">
        <f t="array" ref="B228:B232">_xlfn.UNIQUE(J206:J223)</f>
        <v>White</v>
      </c>
      <c r="C228">
        <f>COUNTIF($E$111:$E$128,B228)</f>
        <v>6</v>
      </c>
    </row>
    <row r="229" spans="1:3" x14ac:dyDescent="0.35">
      <c r="B229" t="str">
        <v>Red</v>
      </c>
      <c r="C229">
        <f t="shared" ref="C229:C232" si="15">COUNTIF($E$111:$E$128,B229)</f>
        <v>4</v>
      </c>
    </row>
    <row r="230" spans="1:3" x14ac:dyDescent="0.35">
      <c r="B230" t="str">
        <v>Black</v>
      </c>
      <c r="C230">
        <f t="shared" si="15"/>
        <v>3</v>
      </c>
    </row>
    <row r="231" spans="1:3" x14ac:dyDescent="0.35">
      <c r="B231" t="str">
        <v>Blue</v>
      </c>
      <c r="C231">
        <f t="shared" si="15"/>
        <v>2</v>
      </c>
    </row>
    <row r="232" spans="1:3" x14ac:dyDescent="0.35">
      <c r="B232" t="str">
        <v>Yellow</v>
      </c>
      <c r="C232">
        <f t="shared" si="15"/>
        <v>1</v>
      </c>
    </row>
    <row r="234" spans="1:3" x14ac:dyDescent="0.35">
      <c r="B234" t="s">
        <v>112</v>
      </c>
    </row>
    <row r="236" spans="1:3" x14ac:dyDescent="0.35">
      <c r="B236" s="4" t="s">
        <v>113</v>
      </c>
    </row>
    <row r="238" spans="1:3" x14ac:dyDescent="0.35">
      <c r="A238">
        <v>4</v>
      </c>
      <c r="B238" t="s">
        <v>4</v>
      </c>
    </row>
    <row r="240" spans="1:3" x14ac:dyDescent="0.35">
      <c r="B240" t="s">
        <v>114</v>
      </c>
    </row>
    <row r="242" spans="2:4" x14ac:dyDescent="0.35">
      <c r="B242" s="1" t="s">
        <v>10</v>
      </c>
      <c r="C242" s="1" t="s">
        <v>115</v>
      </c>
    </row>
    <row r="243" spans="2:4" x14ac:dyDescent="0.35">
      <c r="B243" t="str" cm="1">
        <f t="array" ref="B243:B246">_xlfn.UNIQUE(G206:G223)</f>
        <v>1st owner</v>
      </c>
      <c r="C243" t="e">
        <f>AVERAGEIF($G$206:$G$223,B243,$H$206:$H$223)</f>
        <v>#DIV/0!</v>
      </c>
      <c r="D243" s="1" t="str">
        <f ca="1">_xlfn.FORMULATEXT(C243)</f>
        <v>=AVERAGEIF($G$206:$G$223,B243,$H$206:$H$223)</v>
      </c>
    </row>
    <row r="244" spans="2:4" x14ac:dyDescent="0.35">
      <c r="B244" t="str">
        <v>2nd owner</v>
      </c>
      <c r="C244" t="e">
        <f t="shared" ref="C244:C246" si="16">AVERAGEIF($G$206:$G$223,B244,$H$206:$H$223)</f>
        <v>#DIV/0!</v>
      </c>
      <c r="D244" s="1" t="str">
        <f ca="1">_xlfn.FORMULATEXT(C244)</f>
        <v>=AVERAGEIF($G$206:$G$223,B244,$H$206:$H$223)</v>
      </c>
    </row>
    <row r="245" spans="2:4" x14ac:dyDescent="0.35">
      <c r="B245" t="str">
        <v>3rd owner</v>
      </c>
      <c r="C245" t="e">
        <f t="shared" si="16"/>
        <v>#DIV/0!</v>
      </c>
      <c r="D245" s="1" t="str">
        <f ca="1">_xlfn.FORMULATEXT(C245)</f>
        <v>=AVERAGEIF($G$206:$G$223,B245,$H$206:$H$223)</v>
      </c>
    </row>
    <row r="246" spans="2:4" x14ac:dyDescent="0.35">
      <c r="B246" t="str">
        <v>4th owner</v>
      </c>
      <c r="C246" t="e">
        <f t="shared" si="16"/>
        <v>#DIV/0!</v>
      </c>
      <c r="D246" s="1" t="str">
        <f ca="1">_xlfn.FORMULATEXT(C246)</f>
        <v>=AVERAGEIF($G$206:$G$223,B246,$H$206:$H$223)</v>
      </c>
    </row>
    <row r="248" spans="2:4" x14ac:dyDescent="0.35">
      <c r="B248" s="4" t="s">
        <v>116</v>
      </c>
    </row>
    <row r="250" spans="2:4" x14ac:dyDescent="0.35">
      <c r="B250" t="s">
        <v>117</v>
      </c>
    </row>
    <row r="251" spans="2:4" x14ac:dyDescent="0.35">
      <c r="B251" t="s">
        <v>118</v>
      </c>
    </row>
    <row r="252" spans="2:4" x14ac:dyDescent="0.35">
      <c r="B252" t="s">
        <v>119</v>
      </c>
    </row>
    <row r="261" spans="2:11" x14ac:dyDescent="0.35">
      <c r="B261" t="s">
        <v>120</v>
      </c>
    </row>
    <row r="262" spans="2:11" x14ac:dyDescent="0.35">
      <c r="B262" t="s">
        <v>121</v>
      </c>
    </row>
    <row r="264" spans="2:11" x14ac:dyDescent="0.35">
      <c r="B264" t="s">
        <v>122</v>
      </c>
    </row>
    <row r="266" spans="2:11" x14ac:dyDescent="0.35">
      <c r="B266" s="1" t="s">
        <v>5</v>
      </c>
      <c r="C266" s="1" t="s">
        <v>6</v>
      </c>
      <c r="D266" s="1" t="s">
        <v>7</v>
      </c>
      <c r="E266" s="1" t="s">
        <v>8</v>
      </c>
      <c r="F266" s="1" t="s">
        <v>9</v>
      </c>
      <c r="G266" s="1" t="s">
        <v>10</v>
      </c>
      <c r="H266" s="1" t="s">
        <v>11</v>
      </c>
      <c r="I266" s="1" t="s">
        <v>73</v>
      </c>
      <c r="J266" s="1" t="s">
        <v>123</v>
      </c>
    </row>
    <row r="267" spans="2:11" x14ac:dyDescent="0.35">
      <c r="B267" t="s">
        <v>12</v>
      </c>
      <c r="C267">
        <v>2012</v>
      </c>
      <c r="D267">
        <v>342358</v>
      </c>
      <c r="E267" t="s">
        <v>13</v>
      </c>
      <c r="F267" t="s">
        <v>14</v>
      </c>
      <c r="G267" t="s">
        <v>15</v>
      </c>
      <c r="H267" t="s">
        <v>16</v>
      </c>
      <c r="I267" t="str">
        <f>LEFT(B267,FIND(" ",B267)-1)</f>
        <v>BMW</v>
      </c>
      <c r="J267" s="2" t="str">
        <f>SUBSTITUTE(H267,"$","")</f>
        <v>15400</v>
      </c>
      <c r="K267" s="1" t="str">
        <f ca="1">_xlfn.FORMULATEXT(J267)</f>
        <v>=SUBSTITUTE(H267,"$","")</v>
      </c>
    </row>
    <row r="268" spans="2:11" x14ac:dyDescent="0.35">
      <c r="B268" t="s">
        <v>17</v>
      </c>
      <c r="C268">
        <v>2017</v>
      </c>
      <c r="D268">
        <v>130000</v>
      </c>
      <c r="E268" t="s">
        <v>18</v>
      </c>
      <c r="F268" t="s">
        <v>19</v>
      </c>
      <c r="G268" t="s">
        <v>20</v>
      </c>
      <c r="H268" t="s">
        <v>21</v>
      </c>
      <c r="I268" t="str">
        <f t="shared" ref="I268:I284" si="17">LEFT(B268,FIND(" ",B268)-1)</f>
        <v>Audi</v>
      </c>
      <c r="J268" s="2" t="str">
        <f t="shared" ref="J268:J284" si="18">SUBSTITUTE(H268,"$","")</f>
        <v>24321</v>
      </c>
      <c r="K268" s="1" t="str">
        <f t="shared" ref="K268:K284" ca="1" si="19">_xlfn.FORMULATEXT(J268)</f>
        <v>=SUBSTITUTE(H268,"$","")</v>
      </c>
    </row>
    <row r="269" spans="2:11" x14ac:dyDescent="0.35">
      <c r="B269" t="s">
        <v>22</v>
      </c>
      <c r="C269">
        <v>2020</v>
      </c>
      <c r="D269">
        <v>92450</v>
      </c>
      <c r="E269" t="s">
        <v>23</v>
      </c>
      <c r="F269" t="s">
        <v>14</v>
      </c>
      <c r="G269" t="s">
        <v>24</v>
      </c>
      <c r="H269" t="s">
        <v>25</v>
      </c>
      <c r="I269" t="str">
        <f t="shared" si="17"/>
        <v>Mercedes</v>
      </c>
      <c r="J269" s="2" t="str">
        <f t="shared" si="18"/>
        <v>102342</v>
      </c>
      <c r="K269" s="1" t="str">
        <f t="shared" ca="1" si="19"/>
        <v>=SUBSTITUTE(H269,"$","")</v>
      </c>
    </row>
    <row r="270" spans="2:11" x14ac:dyDescent="0.35">
      <c r="B270" t="s">
        <v>12</v>
      </c>
      <c r="C270">
        <v>2020</v>
      </c>
      <c r="D270">
        <v>76240</v>
      </c>
      <c r="E270" t="s">
        <v>13</v>
      </c>
      <c r="F270" t="s">
        <v>14</v>
      </c>
      <c r="G270" t="s">
        <v>20</v>
      </c>
      <c r="H270" t="s">
        <v>26</v>
      </c>
      <c r="I270" t="str">
        <f t="shared" si="17"/>
        <v>BMW</v>
      </c>
      <c r="J270" s="2" t="str">
        <f t="shared" si="18"/>
        <v>55272</v>
      </c>
      <c r="K270" s="1" t="str">
        <f t="shared" ca="1" si="19"/>
        <v>=SUBSTITUTE(H270,"$","")</v>
      </c>
    </row>
    <row r="271" spans="2:11" x14ac:dyDescent="0.35">
      <c r="B271" t="s">
        <v>27</v>
      </c>
      <c r="C271">
        <v>2021</v>
      </c>
      <c r="D271">
        <v>17283</v>
      </c>
      <c r="E271" t="s">
        <v>13</v>
      </c>
      <c r="F271" t="s">
        <v>19</v>
      </c>
      <c r="G271" t="s">
        <v>15</v>
      </c>
      <c r="H271" t="s">
        <v>28</v>
      </c>
      <c r="I271" t="str">
        <f t="shared" si="17"/>
        <v>BMW</v>
      </c>
      <c r="J271" s="2" t="str">
        <f t="shared" si="18"/>
        <v>42000</v>
      </c>
      <c r="K271" s="1" t="str">
        <f t="shared" ca="1" si="19"/>
        <v>=SUBSTITUTE(H271,"$","")</v>
      </c>
    </row>
    <row r="272" spans="2:11" x14ac:dyDescent="0.35">
      <c r="B272" t="s">
        <v>29</v>
      </c>
      <c r="C272">
        <v>2020</v>
      </c>
      <c r="D272">
        <v>98312</v>
      </c>
      <c r="E272" t="s">
        <v>18</v>
      </c>
      <c r="F272" t="s">
        <v>14</v>
      </c>
      <c r="G272" t="s">
        <v>24</v>
      </c>
      <c r="H272" t="s">
        <v>30</v>
      </c>
      <c r="I272" t="str">
        <f t="shared" si="17"/>
        <v>Lexus</v>
      </c>
      <c r="J272" s="2" t="str">
        <f t="shared" si="18"/>
        <v>51292</v>
      </c>
      <c r="K272" s="1" t="str">
        <f t="shared" ca="1" si="19"/>
        <v>=SUBSTITUTE(H272,"$","")</v>
      </c>
    </row>
    <row r="273" spans="2:11" x14ac:dyDescent="0.35">
      <c r="B273" t="s">
        <v>27</v>
      </c>
      <c r="C273">
        <v>2018</v>
      </c>
      <c r="D273">
        <v>156784</v>
      </c>
      <c r="E273" t="s">
        <v>31</v>
      </c>
      <c r="F273" t="s">
        <v>19</v>
      </c>
      <c r="G273" t="s">
        <v>24</v>
      </c>
      <c r="H273" t="s">
        <v>32</v>
      </c>
      <c r="I273" t="str">
        <f t="shared" si="17"/>
        <v>BMW</v>
      </c>
      <c r="J273" s="2" t="str">
        <f t="shared" si="18"/>
        <v>37605</v>
      </c>
      <c r="K273" s="1" t="str">
        <f t="shared" ca="1" si="19"/>
        <v>=SUBSTITUTE(H273,"$","")</v>
      </c>
    </row>
    <row r="274" spans="2:11" x14ac:dyDescent="0.35">
      <c r="B274" t="s">
        <v>12</v>
      </c>
      <c r="C274">
        <v>2019</v>
      </c>
      <c r="D274">
        <v>52034</v>
      </c>
      <c r="E274" t="s">
        <v>33</v>
      </c>
      <c r="F274" t="s">
        <v>14</v>
      </c>
      <c r="G274" t="s">
        <v>15</v>
      </c>
      <c r="H274" t="s">
        <v>34</v>
      </c>
      <c r="I274" t="str">
        <f t="shared" si="17"/>
        <v>BMW</v>
      </c>
      <c r="J274" s="2" t="str">
        <f t="shared" si="18"/>
        <v>45000</v>
      </c>
      <c r="K274" s="1" t="str">
        <f t="shared" ca="1" si="19"/>
        <v>=SUBSTITUTE(H274,"$","")</v>
      </c>
    </row>
    <row r="275" spans="2:11" x14ac:dyDescent="0.35">
      <c r="B275" t="s">
        <v>35</v>
      </c>
      <c r="C275">
        <v>2011</v>
      </c>
      <c r="D275">
        <v>205204</v>
      </c>
      <c r="E275" t="s">
        <v>18</v>
      </c>
      <c r="F275" t="s">
        <v>14</v>
      </c>
      <c r="G275" t="s">
        <v>20</v>
      </c>
      <c r="H275" t="s">
        <v>36</v>
      </c>
      <c r="I275" t="str">
        <f t="shared" si="17"/>
        <v>BMW</v>
      </c>
      <c r="J275" s="2" t="str">
        <f t="shared" si="18"/>
        <v>13241</v>
      </c>
      <c r="K275" s="1" t="str">
        <f t="shared" ca="1" si="19"/>
        <v>=SUBSTITUTE(H275,"$","")</v>
      </c>
    </row>
    <row r="276" spans="2:11" x14ac:dyDescent="0.35">
      <c r="B276" t="s">
        <v>22</v>
      </c>
      <c r="C276">
        <v>2014</v>
      </c>
      <c r="D276">
        <v>152985</v>
      </c>
      <c r="E276" t="s">
        <v>23</v>
      </c>
      <c r="F276" t="s">
        <v>14</v>
      </c>
      <c r="G276" t="s">
        <v>20</v>
      </c>
      <c r="H276" t="s">
        <v>37</v>
      </c>
      <c r="I276" t="str">
        <f t="shared" si="17"/>
        <v>Mercedes</v>
      </c>
      <c r="J276" s="2" t="str">
        <f t="shared" si="18"/>
        <v>49344</v>
      </c>
      <c r="K276" s="1" t="str">
        <f t="shared" ca="1" si="19"/>
        <v>=SUBSTITUTE(H276,"$","")</v>
      </c>
    </row>
    <row r="277" spans="2:11" x14ac:dyDescent="0.35">
      <c r="B277" t="s">
        <v>38</v>
      </c>
      <c r="C277">
        <v>2018</v>
      </c>
      <c r="D277">
        <v>76429</v>
      </c>
      <c r="E277" t="s">
        <v>39</v>
      </c>
      <c r="F277" t="s">
        <v>14</v>
      </c>
      <c r="G277" t="s">
        <v>15</v>
      </c>
      <c r="H277" t="s">
        <v>40</v>
      </c>
      <c r="I277" t="str">
        <f t="shared" si="17"/>
        <v>Tesla</v>
      </c>
      <c r="J277" s="2" t="str">
        <f t="shared" si="18"/>
        <v>52432</v>
      </c>
      <c r="K277" s="1" t="str">
        <f t="shared" ca="1" si="19"/>
        <v>=SUBSTITUTE(H277,"$","")</v>
      </c>
    </row>
    <row r="278" spans="2:11" x14ac:dyDescent="0.35">
      <c r="B278" t="s">
        <v>41</v>
      </c>
      <c r="C278">
        <v>2013</v>
      </c>
      <c r="D278">
        <v>254028</v>
      </c>
      <c r="E278" t="s">
        <v>42</v>
      </c>
      <c r="F278" t="s">
        <v>19</v>
      </c>
      <c r="G278" t="s">
        <v>20</v>
      </c>
      <c r="H278" t="s">
        <v>43</v>
      </c>
      <c r="I278" t="str">
        <f t="shared" si="17"/>
        <v>Volvo</v>
      </c>
      <c r="J278" s="2" t="str">
        <f t="shared" si="18"/>
        <v>17452</v>
      </c>
      <c r="K278" s="1" t="str">
        <f t="shared" ca="1" si="19"/>
        <v>=SUBSTITUTE(H278,"$","")</v>
      </c>
    </row>
    <row r="279" spans="2:11" x14ac:dyDescent="0.35">
      <c r="B279" t="s">
        <v>44</v>
      </c>
      <c r="C279">
        <v>2014</v>
      </c>
      <c r="D279">
        <v>45832</v>
      </c>
      <c r="E279" t="s">
        <v>13</v>
      </c>
      <c r="F279" t="s">
        <v>19</v>
      </c>
      <c r="G279" t="s">
        <v>15</v>
      </c>
      <c r="H279" t="s">
        <v>45</v>
      </c>
      <c r="I279" t="str">
        <f t="shared" si="17"/>
        <v>Audi</v>
      </c>
      <c r="J279" s="2" t="str">
        <f t="shared" si="18"/>
        <v>23250</v>
      </c>
      <c r="K279" s="1" t="str">
        <f t="shared" ca="1" si="19"/>
        <v>=SUBSTITUTE(H279,"$","")</v>
      </c>
    </row>
    <row r="280" spans="2:11" x14ac:dyDescent="0.35">
      <c r="B280" t="s">
        <v>46</v>
      </c>
      <c r="C280">
        <v>2018</v>
      </c>
      <c r="D280">
        <v>67591</v>
      </c>
      <c r="E280" t="s">
        <v>31</v>
      </c>
      <c r="F280" t="s">
        <v>14</v>
      </c>
      <c r="G280" t="s">
        <v>20</v>
      </c>
      <c r="H280" t="s">
        <v>47</v>
      </c>
      <c r="I280" t="str">
        <f t="shared" si="17"/>
        <v>Cadillac</v>
      </c>
      <c r="J280" s="2" t="str">
        <f t="shared" si="18"/>
        <v>32420</v>
      </c>
      <c r="K280" s="1" t="str">
        <f t="shared" ca="1" si="19"/>
        <v>=SUBSTITUTE(H280,"$","")</v>
      </c>
    </row>
    <row r="281" spans="2:11" x14ac:dyDescent="0.35">
      <c r="B281" t="s">
        <v>48</v>
      </c>
      <c r="C281">
        <v>2013</v>
      </c>
      <c r="D281">
        <v>85320</v>
      </c>
      <c r="E281" t="s">
        <v>13</v>
      </c>
      <c r="F281" t="s">
        <v>14</v>
      </c>
      <c r="G281" t="s">
        <v>20</v>
      </c>
      <c r="H281" t="s">
        <v>49</v>
      </c>
      <c r="I281" t="str">
        <f t="shared" si="17"/>
        <v>Jaguar</v>
      </c>
      <c r="J281" s="2" t="str">
        <f t="shared" si="18"/>
        <v>18454</v>
      </c>
      <c r="K281" s="1" t="str">
        <f t="shared" ca="1" si="19"/>
        <v>=SUBSTITUTE(H281,"$","")</v>
      </c>
    </row>
    <row r="282" spans="2:11" x14ac:dyDescent="0.35">
      <c r="B282" t="s">
        <v>29</v>
      </c>
      <c r="C282">
        <v>2016</v>
      </c>
      <c r="D282">
        <v>5000</v>
      </c>
      <c r="E282" t="s">
        <v>13</v>
      </c>
      <c r="F282" t="s">
        <v>14</v>
      </c>
      <c r="G282" t="s">
        <v>15</v>
      </c>
      <c r="H282" t="s">
        <v>50</v>
      </c>
      <c r="I282" t="str">
        <f t="shared" si="17"/>
        <v>Lexus</v>
      </c>
      <c r="J282" s="2" t="str">
        <f t="shared" si="18"/>
        <v>41000</v>
      </c>
      <c r="K282" s="1" t="str">
        <f t="shared" ca="1" si="19"/>
        <v>=SUBSTITUTE(H282,"$","")</v>
      </c>
    </row>
    <row r="283" spans="2:11" x14ac:dyDescent="0.35">
      <c r="B283" t="s">
        <v>51</v>
      </c>
      <c r="C283">
        <v>2017</v>
      </c>
      <c r="D283">
        <v>92450</v>
      </c>
      <c r="E283" t="s">
        <v>18</v>
      </c>
      <c r="F283" t="s">
        <v>19</v>
      </c>
      <c r="G283" t="s">
        <v>20</v>
      </c>
      <c r="H283" t="s">
        <v>52</v>
      </c>
      <c r="I283" t="str">
        <f t="shared" si="17"/>
        <v>BMW</v>
      </c>
      <c r="J283" s="2" t="str">
        <f t="shared" si="18"/>
        <v>35240</v>
      </c>
      <c r="K283" s="1" t="str">
        <f t="shared" ca="1" si="19"/>
        <v>=SUBSTITUTE(H283,"$","")</v>
      </c>
    </row>
    <row r="284" spans="2:11" x14ac:dyDescent="0.35">
      <c r="B284" t="s">
        <v>29</v>
      </c>
      <c r="C284">
        <v>2015</v>
      </c>
      <c r="D284">
        <v>130000</v>
      </c>
      <c r="E284" t="s">
        <v>23</v>
      </c>
      <c r="F284" t="s">
        <v>14</v>
      </c>
      <c r="G284" t="s">
        <v>53</v>
      </c>
      <c r="H284" t="s">
        <v>54</v>
      </c>
      <c r="I284" t="str">
        <f t="shared" si="17"/>
        <v>Lexus</v>
      </c>
      <c r="J284" s="2" t="str">
        <f t="shared" si="18"/>
        <v>22520</v>
      </c>
      <c r="K284" s="1" t="str">
        <f t="shared" ca="1" si="19"/>
        <v>=SUBSTITUTE(H284,"$","")</v>
      </c>
    </row>
    <row r="286" spans="2:11" x14ac:dyDescent="0.35">
      <c r="B286" s="4" t="s">
        <v>124</v>
      </c>
    </row>
    <row r="288" spans="2:11" x14ac:dyDescent="0.35">
      <c r="B288" t="s">
        <v>125</v>
      </c>
    </row>
    <row r="290" spans="2:11" x14ac:dyDescent="0.35">
      <c r="B290" s="1" t="s">
        <v>10</v>
      </c>
      <c r="C290" s="1" t="s">
        <v>115</v>
      </c>
    </row>
    <row r="291" spans="2:11" x14ac:dyDescent="0.35">
      <c r="B291" t="str" cm="1">
        <f t="array" ref="B291:B294">_xlfn.UNIQUE(G267:G284)</f>
        <v>1st owner</v>
      </c>
      <c r="C291" t="e">
        <f>AVERAGEIF($G$267:$G$284,B291,$J$267:$J$284)</f>
        <v>#DIV/0!</v>
      </c>
      <c r="D291" s="1" t="str">
        <f ca="1">_xlfn.FORMULATEXT(C291)</f>
        <v>=AVERAGEIF($G$267:$G$284,B291,$J$267:$J$284)</v>
      </c>
    </row>
    <row r="292" spans="2:11" x14ac:dyDescent="0.35">
      <c r="B292" t="str">
        <v>2nd owner</v>
      </c>
      <c r="C292" t="e">
        <f t="shared" ref="C292:C294" si="20">AVERAGEIF($G$267:$G$284,B292,$J$267:$J$284)</f>
        <v>#DIV/0!</v>
      </c>
      <c r="D292" s="1" t="str">
        <f ca="1">_xlfn.FORMULATEXT(C292)</f>
        <v>=AVERAGEIF($G$267:$G$284,B292,$J$267:$J$284)</v>
      </c>
    </row>
    <row r="293" spans="2:11" x14ac:dyDescent="0.35">
      <c r="B293" t="str">
        <v>3rd owner</v>
      </c>
      <c r="C293" t="e">
        <f t="shared" si="20"/>
        <v>#DIV/0!</v>
      </c>
      <c r="D293" s="1" t="str">
        <f ca="1">_xlfn.FORMULATEXT(C293)</f>
        <v>=AVERAGEIF($G$267:$G$284,B293,$J$267:$J$284)</v>
      </c>
    </row>
    <row r="294" spans="2:11" x14ac:dyDescent="0.35">
      <c r="B294" t="str">
        <v>4th owner</v>
      </c>
      <c r="C294" t="e">
        <f t="shared" si="20"/>
        <v>#DIV/0!</v>
      </c>
      <c r="D294" s="1" t="str">
        <f ca="1">_xlfn.FORMULATEXT(C294)</f>
        <v>=AVERAGEIF($G$267:$G$284,B294,$J$267:$J$284)</v>
      </c>
    </row>
    <row r="296" spans="2:11" x14ac:dyDescent="0.35">
      <c r="B296" t="s">
        <v>126</v>
      </c>
    </row>
    <row r="298" spans="2:11" x14ac:dyDescent="0.35">
      <c r="B298" t="s">
        <v>127</v>
      </c>
    </row>
    <row r="299" spans="2:11" x14ac:dyDescent="0.35">
      <c r="B299" t="s">
        <v>128</v>
      </c>
    </row>
    <row r="301" spans="2:11" x14ac:dyDescent="0.35">
      <c r="B301" s="1" t="s">
        <v>5</v>
      </c>
      <c r="C301" s="1" t="s">
        <v>6</v>
      </c>
      <c r="D301" s="1" t="s">
        <v>7</v>
      </c>
      <c r="E301" s="1" t="s">
        <v>8</v>
      </c>
      <c r="F301" s="1" t="s">
        <v>9</v>
      </c>
      <c r="G301" s="1" t="s">
        <v>10</v>
      </c>
      <c r="H301" s="1" t="s">
        <v>11</v>
      </c>
      <c r="I301" s="1" t="s">
        <v>73</v>
      </c>
      <c r="J301" s="1" t="s">
        <v>129</v>
      </c>
    </row>
    <row r="302" spans="2:11" x14ac:dyDescent="0.35">
      <c r="B302" t="s">
        <v>12</v>
      </c>
      <c r="C302">
        <v>2012</v>
      </c>
      <c r="D302">
        <v>342358</v>
      </c>
      <c r="E302" t="s">
        <v>13</v>
      </c>
      <c r="F302" t="s">
        <v>14</v>
      </c>
      <c r="G302" t="s">
        <v>15</v>
      </c>
      <c r="H302" t="s">
        <v>16</v>
      </c>
      <c r="I302" t="str">
        <f>LEFT(B302,FIND(" ",B302)-1)</f>
        <v>BMW</v>
      </c>
      <c r="J302" s="2">
        <f>VALUE(SUBSTITUTE(H302,"$",""))</f>
        <v>15400</v>
      </c>
      <c r="K302" s="1" t="str">
        <f ca="1">_xlfn.FORMULATEXT(J302)</f>
        <v>=VALUE(SUBSTITUTE(H302,"$",""))</v>
      </c>
    </row>
    <row r="303" spans="2:11" x14ac:dyDescent="0.35">
      <c r="B303" t="s">
        <v>17</v>
      </c>
      <c r="C303">
        <v>2017</v>
      </c>
      <c r="D303">
        <v>130000</v>
      </c>
      <c r="E303" t="s">
        <v>18</v>
      </c>
      <c r="F303" t="s">
        <v>19</v>
      </c>
      <c r="G303" t="s">
        <v>20</v>
      </c>
      <c r="H303" t="s">
        <v>21</v>
      </c>
      <c r="I303" t="str">
        <f t="shared" ref="I303:I319" si="21">LEFT(B303,FIND(" ",B303)-1)</f>
        <v>Audi</v>
      </c>
      <c r="J303" s="2">
        <f t="shared" ref="J303:J319" si="22">VALUE(SUBSTITUTE(H303,"$",""))</f>
        <v>24321</v>
      </c>
      <c r="K303" s="1" t="str">
        <f t="shared" ref="K303:K319" ca="1" si="23">_xlfn.FORMULATEXT(J303)</f>
        <v>=VALUE(SUBSTITUTE(H303,"$",""))</v>
      </c>
    </row>
    <row r="304" spans="2:11" x14ac:dyDescent="0.35">
      <c r="B304" t="s">
        <v>22</v>
      </c>
      <c r="C304">
        <v>2020</v>
      </c>
      <c r="D304">
        <v>92450</v>
      </c>
      <c r="E304" t="s">
        <v>23</v>
      </c>
      <c r="F304" t="s">
        <v>14</v>
      </c>
      <c r="G304" t="s">
        <v>24</v>
      </c>
      <c r="H304" t="s">
        <v>25</v>
      </c>
      <c r="I304" t="str">
        <f t="shared" si="21"/>
        <v>Mercedes</v>
      </c>
      <c r="J304" s="2">
        <f t="shared" si="22"/>
        <v>102342</v>
      </c>
      <c r="K304" s="1" t="str">
        <f t="shared" ca="1" si="23"/>
        <v>=VALUE(SUBSTITUTE(H304,"$",""))</v>
      </c>
    </row>
    <row r="305" spans="2:11" x14ac:dyDescent="0.35">
      <c r="B305" t="s">
        <v>12</v>
      </c>
      <c r="C305">
        <v>2020</v>
      </c>
      <c r="D305">
        <v>76240</v>
      </c>
      <c r="E305" t="s">
        <v>13</v>
      </c>
      <c r="F305" t="s">
        <v>14</v>
      </c>
      <c r="G305" t="s">
        <v>20</v>
      </c>
      <c r="H305" t="s">
        <v>26</v>
      </c>
      <c r="I305" t="str">
        <f t="shared" si="21"/>
        <v>BMW</v>
      </c>
      <c r="J305" s="2">
        <f t="shared" si="22"/>
        <v>55272</v>
      </c>
      <c r="K305" s="1" t="str">
        <f t="shared" ca="1" si="23"/>
        <v>=VALUE(SUBSTITUTE(H305,"$",""))</v>
      </c>
    </row>
    <row r="306" spans="2:11" x14ac:dyDescent="0.35">
      <c r="B306" t="s">
        <v>27</v>
      </c>
      <c r="C306">
        <v>2021</v>
      </c>
      <c r="D306">
        <v>17283</v>
      </c>
      <c r="E306" t="s">
        <v>13</v>
      </c>
      <c r="F306" t="s">
        <v>19</v>
      </c>
      <c r="G306" t="s">
        <v>15</v>
      </c>
      <c r="H306" t="s">
        <v>28</v>
      </c>
      <c r="I306" t="str">
        <f t="shared" si="21"/>
        <v>BMW</v>
      </c>
      <c r="J306" s="2">
        <f t="shared" si="22"/>
        <v>42000</v>
      </c>
      <c r="K306" s="1" t="str">
        <f t="shared" ca="1" si="23"/>
        <v>=VALUE(SUBSTITUTE(H306,"$",""))</v>
      </c>
    </row>
    <row r="307" spans="2:11" x14ac:dyDescent="0.35">
      <c r="B307" t="s">
        <v>29</v>
      </c>
      <c r="C307">
        <v>2020</v>
      </c>
      <c r="D307">
        <v>98312</v>
      </c>
      <c r="E307" t="s">
        <v>18</v>
      </c>
      <c r="F307" t="s">
        <v>14</v>
      </c>
      <c r="G307" t="s">
        <v>24</v>
      </c>
      <c r="H307" t="s">
        <v>30</v>
      </c>
      <c r="I307" t="str">
        <f t="shared" si="21"/>
        <v>Lexus</v>
      </c>
      <c r="J307" s="2">
        <f t="shared" si="22"/>
        <v>51292</v>
      </c>
      <c r="K307" s="1" t="str">
        <f t="shared" ca="1" si="23"/>
        <v>=VALUE(SUBSTITUTE(H307,"$",""))</v>
      </c>
    </row>
    <row r="308" spans="2:11" x14ac:dyDescent="0.35">
      <c r="B308" t="s">
        <v>27</v>
      </c>
      <c r="C308">
        <v>2018</v>
      </c>
      <c r="D308">
        <v>156784</v>
      </c>
      <c r="E308" t="s">
        <v>31</v>
      </c>
      <c r="F308" t="s">
        <v>19</v>
      </c>
      <c r="G308" t="s">
        <v>24</v>
      </c>
      <c r="H308" t="s">
        <v>32</v>
      </c>
      <c r="I308" t="str">
        <f t="shared" si="21"/>
        <v>BMW</v>
      </c>
      <c r="J308" s="2">
        <f t="shared" si="22"/>
        <v>37605</v>
      </c>
      <c r="K308" s="1" t="str">
        <f t="shared" ca="1" si="23"/>
        <v>=VALUE(SUBSTITUTE(H308,"$",""))</v>
      </c>
    </row>
    <row r="309" spans="2:11" x14ac:dyDescent="0.35">
      <c r="B309" t="s">
        <v>12</v>
      </c>
      <c r="C309">
        <v>2019</v>
      </c>
      <c r="D309">
        <v>52034</v>
      </c>
      <c r="E309" t="s">
        <v>33</v>
      </c>
      <c r="F309" t="s">
        <v>14</v>
      </c>
      <c r="G309" t="s">
        <v>15</v>
      </c>
      <c r="H309" t="s">
        <v>34</v>
      </c>
      <c r="I309" t="str">
        <f t="shared" si="21"/>
        <v>BMW</v>
      </c>
      <c r="J309" s="2">
        <f t="shared" si="22"/>
        <v>45000</v>
      </c>
      <c r="K309" s="1" t="str">
        <f t="shared" ca="1" si="23"/>
        <v>=VALUE(SUBSTITUTE(H309,"$",""))</v>
      </c>
    </row>
    <row r="310" spans="2:11" x14ac:dyDescent="0.35">
      <c r="B310" t="s">
        <v>35</v>
      </c>
      <c r="C310">
        <v>2011</v>
      </c>
      <c r="D310">
        <v>205204</v>
      </c>
      <c r="E310" t="s">
        <v>18</v>
      </c>
      <c r="F310" t="s">
        <v>14</v>
      </c>
      <c r="G310" t="s">
        <v>20</v>
      </c>
      <c r="H310" t="s">
        <v>36</v>
      </c>
      <c r="I310" t="str">
        <f t="shared" si="21"/>
        <v>BMW</v>
      </c>
      <c r="J310" s="2">
        <f t="shared" si="22"/>
        <v>13241</v>
      </c>
      <c r="K310" s="1" t="str">
        <f t="shared" ca="1" si="23"/>
        <v>=VALUE(SUBSTITUTE(H310,"$",""))</v>
      </c>
    </row>
    <row r="311" spans="2:11" x14ac:dyDescent="0.35">
      <c r="B311" t="s">
        <v>22</v>
      </c>
      <c r="C311">
        <v>2014</v>
      </c>
      <c r="D311">
        <v>152985</v>
      </c>
      <c r="E311" t="s">
        <v>23</v>
      </c>
      <c r="F311" t="s">
        <v>14</v>
      </c>
      <c r="G311" t="s">
        <v>20</v>
      </c>
      <c r="H311" t="s">
        <v>37</v>
      </c>
      <c r="I311" t="str">
        <f t="shared" si="21"/>
        <v>Mercedes</v>
      </c>
      <c r="J311" s="2">
        <f t="shared" si="22"/>
        <v>49344</v>
      </c>
      <c r="K311" s="1" t="str">
        <f t="shared" ca="1" si="23"/>
        <v>=VALUE(SUBSTITUTE(H311,"$",""))</v>
      </c>
    </row>
    <row r="312" spans="2:11" x14ac:dyDescent="0.35">
      <c r="B312" t="s">
        <v>38</v>
      </c>
      <c r="C312">
        <v>2018</v>
      </c>
      <c r="D312">
        <v>76429</v>
      </c>
      <c r="E312" t="s">
        <v>39</v>
      </c>
      <c r="F312" t="s">
        <v>14</v>
      </c>
      <c r="G312" t="s">
        <v>15</v>
      </c>
      <c r="H312" t="s">
        <v>40</v>
      </c>
      <c r="I312" t="str">
        <f t="shared" si="21"/>
        <v>Tesla</v>
      </c>
      <c r="J312" s="2">
        <f t="shared" si="22"/>
        <v>52432</v>
      </c>
      <c r="K312" s="1" t="str">
        <f t="shared" ca="1" si="23"/>
        <v>=VALUE(SUBSTITUTE(H312,"$",""))</v>
      </c>
    </row>
    <row r="313" spans="2:11" x14ac:dyDescent="0.35">
      <c r="B313" t="s">
        <v>41</v>
      </c>
      <c r="C313">
        <v>2013</v>
      </c>
      <c r="D313">
        <v>254028</v>
      </c>
      <c r="E313" t="s">
        <v>42</v>
      </c>
      <c r="F313" t="s">
        <v>19</v>
      </c>
      <c r="G313" t="s">
        <v>20</v>
      </c>
      <c r="H313" t="s">
        <v>43</v>
      </c>
      <c r="I313" t="str">
        <f t="shared" si="21"/>
        <v>Volvo</v>
      </c>
      <c r="J313" s="2">
        <f t="shared" si="22"/>
        <v>17452</v>
      </c>
      <c r="K313" s="1" t="str">
        <f t="shared" ca="1" si="23"/>
        <v>=VALUE(SUBSTITUTE(H313,"$",""))</v>
      </c>
    </row>
    <row r="314" spans="2:11" x14ac:dyDescent="0.35">
      <c r="B314" t="s">
        <v>44</v>
      </c>
      <c r="C314">
        <v>2014</v>
      </c>
      <c r="D314">
        <v>45832</v>
      </c>
      <c r="E314" t="s">
        <v>13</v>
      </c>
      <c r="F314" t="s">
        <v>19</v>
      </c>
      <c r="G314" t="s">
        <v>15</v>
      </c>
      <c r="H314" t="s">
        <v>45</v>
      </c>
      <c r="I314" t="str">
        <f t="shared" si="21"/>
        <v>Audi</v>
      </c>
      <c r="J314" s="2">
        <f t="shared" si="22"/>
        <v>23250</v>
      </c>
      <c r="K314" s="1" t="str">
        <f t="shared" ca="1" si="23"/>
        <v>=VALUE(SUBSTITUTE(H314,"$",""))</v>
      </c>
    </row>
    <row r="315" spans="2:11" x14ac:dyDescent="0.35">
      <c r="B315" t="s">
        <v>46</v>
      </c>
      <c r="C315">
        <v>2018</v>
      </c>
      <c r="D315">
        <v>67591</v>
      </c>
      <c r="E315" t="s">
        <v>31</v>
      </c>
      <c r="F315" t="s">
        <v>14</v>
      </c>
      <c r="G315" t="s">
        <v>20</v>
      </c>
      <c r="H315" t="s">
        <v>47</v>
      </c>
      <c r="I315" t="str">
        <f t="shared" si="21"/>
        <v>Cadillac</v>
      </c>
      <c r="J315" s="2">
        <f t="shared" si="22"/>
        <v>32420</v>
      </c>
      <c r="K315" s="1" t="str">
        <f t="shared" ca="1" si="23"/>
        <v>=VALUE(SUBSTITUTE(H315,"$",""))</v>
      </c>
    </row>
    <row r="316" spans="2:11" x14ac:dyDescent="0.35">
      <c r="B316" t="s">
        <v>48</v>
      </c>
      <c r="C316">
        <v>2013</v>
      </c>
      <c r="D316">
        <v>85320</v>
      </c>
      <c r="E316" t="s">
        <v>13</v>
      </c>
      <c r="F316" t="s">
        <v>14</v>
      </c>
      <c r="G316" t="s">
        <v>20</v>
      </c>
      <c r="H316" t="s">
        <v>49</v>
      </c>
      <c r="I316" t="str">
        <f t="shared" si="21"/>
        <v>Jaguar</v>
      </c>
      <c r="J316" s="2">
        <f t="shared" si="22"/>
        <v>18454</v>
      </c>
      <c r="K316" s="1" t="str">
        <f t="shared" ca="1" si="23"/>
        <v>=VALUE(SUBSTITUTE(H316,"$",""))</v>
      </c>
    </row>
    <row r="317" spans="2:11" x14ac:dyDescent="0.35">
      <c r="B317" t="s">
        <v>29</v>
      </c>
      <c r="C317">
        <v>2016</v>
      </c>
      <c r="D317">
        <v>5000</v>
      </c>
      <c r="E317" t="s">
        <v>13</v>
      </c>
      <c r="F317" t="s">
        <v>14</v>
      </c>
      <c r="G317" t="s">
        <v>15</v>
      </c>
      <c r="H317" t="s">
        <v>50</v>
      </c>
      <c r="I317" t="str">
        <f t="shared" si="21"/>
        <v>Lexus</v>
      </c>
      <c r="J317" s="2">
        <f t="shared" si="22"/>
        <v>41000</v>
      </c>
      <c r="K317" s="1" t="str">
        <f t="shared" ca="1" si="23"/>
        <v>=VALUE(SUBSTITUTE(H317,"$",""))</v>
      </c>
    </row>
    <row r="318" spans="2:11" x14ac:dyDescent="0.35">
      <c r="B318" t="s">
        <v>51</v>
      </c>
      <c r="C318">
        <v>2017</v>
      </c>
      <c r="D318">
        <v>92450</v>
      </c>
      <c r="E318" t="s">
        <v>18</v>
      </c>
      <c r="F318" t="s">
        <v>19</v>
      </c>
      <c r="G318" t="s">
        <v>20</v>
      </c>
      <c r="H318" t="s">
        <v>52</v>
      </c>
      <c r="I318" t="str">
        <f t="shared" si="21"/>
        <v>BMW</v>
      </c>
      <c r="J318" s="2">
        <f t="shared" si="22"/>
        <v>35240</v>
      </c>
      <c r="K318" s="1" t="str">
        <f t="shared" ca="1" si="23"/>
        <v>=VALUE(SUBSTITUTE(H318,"$",""))</v>
      </c>
    </row>
    <row r="319" spans="2:11" x14ac:dyDescent="0.35">
      <c r="B319" t="s">
        <v>29</v>
      </c>
      <c r="C319">
        <v>2015</v>
      </c>
      <c r="D319">
        <v>130000</v>
      </c>
      <c r="E319" t="s">
        <v>23</v>
      </c>
      <c r="F319" t="s">
        <v>14</v>
      </c>
      <c r="G319" t="s">
        <v>53</v>
      </c>
      <c r="H319" t="s">
        <v>54</v>
      </c>
      <c r="I319" t="str">
        <f t="shared" si="21"/>
        <v>Lexus</v>
      </c>
      <c r="J319" s="2">
        <f t="shared" si="22"/>
        <v>22520</v>
      </c>
      <c r="K319" s="1" t="str">
        <f t="shared" ca="1" si="23"/>
        <v>=VALUE(SUBSTITUTE(H319,"$",""))</v>
      </c>
    </row>
    <row r="321" spans="2:4" x14ac:dyDescent="0.35">
      <c r="B321" s="4" t="s">
        <v>130</v>
      </c>
    </row>
    <row r="323" spans="2:4" x14ac:dyDescent="0.35">
      <c r="B323" t="s">
        <v>131</v>
      </c>
    </row>
    <row r="325" spans="2:4" x14ac:dyDescent="0.35">
      <c r="B325" s="1" t="s">
        <v>10</v>
      </c>
      <c r="C325" s="1" t="s">
        <v>115</v>
      </c>
    </row>
    <row r="326" spans="2:4" x14ac:dyDescent="0.35">
      <c r="B326" t="str" cm="1">
        <f t="array" ref="B326:B329">_xlfn.UNIQUE(G302:G319)</f>
        <v>1st owner</v>
      </c>
      <c r="C326" s="2">
        <f>AVERAGEIF($G$267:$G$284,B326,$J$302:$J$319)</f>
        <v>36513.666666666664</v>
      </c>
      <c r="D326" s="1" t="str">
        <f ca="1">_xlfn.FORMULATEXT(C326)</f>
        <v>=AVERAGEIF($G$267:$G$284,B326,$J$302:$J$319)</v>
      </c>
    </row>
    <row r="327" spans="2:4" x14ac:dyDescent="0.35">
      <c r="B327" t="str">
        <v>2nd owner</v>
      </c>
      <c r="C327" s="2">
        <f t="shared" ref="C327:C329" si="24">AVERAGEIF($G$267:$G$284,B327,$J$302:$J$319)</f>
        <v>30718</v>
      </c>
      <c r="D327" s="1" t="str">
        <f ca="1">_xlfn.FORMULATEXT(C327)</f>
        <v>=AVERAGEIF($G$267:$G$284,B327,$J$302:$J$319)</v>
      </c>
    </row>
    <row r="328" spans="2:4" x14ac:dyDescent="0.35">
      <c r="B328" t="str">
        <v>3rd owner</v>
      </c>
      <c r="C328" s="2">
        <f t="shared" si="24"/>
        <v>63746.333333333336</v>
      </c>
      <c r="D328" s="1" t="str">
        <f ca="1">_xlfn.FORMULATEXT(C328)</f>
        <v>=AVERAGEIF($G$267:$G$284,B328,$J$302:$J$319)</v>
      </c>
    </row>
    <row r="329" spans="2:4" x14ac:dyDescent="0.35">
      <c r="B329" t="str">
        <v>4th owner</v>
      </c>
      <c r="C329" s="2">
        <f t="shared" si="24"/>
        <v>22520</v>
      </c>
      <c r="D329" s="1" t="str">
        <f ca="1">_xlfn.FORMULATEXT(C329)</f>
        <v>=AVERAGEIF($G$267:$G$284,B329,$J$302:$J$319)</v>
      </c>
    </row>
    <row r="331" spans="2:4" x14ac:dyDescent="0.35">
      <c r="B331" s="7" t="s">
        <v>132</v>
      </c>
    </row>
    <row r="340" spans="2:2" x14ac:dyDescent="0.35">
      <c r="B340" t="s">
        <v>133</v>
      </c>
    </row>
    <row r="341" spans="2:2" x14ac:dyDescent="0.35">
      <c r="B341" s="8" t="s">
        <v>134</v>
      </c>
    </row>
  </sheetData>
  <hyperlinks>
    <hyperlink ref="B51" r:id="rId1" xr:uid="{18A554AC-C4C2-455D-B414-1392ADA8D9B8}"/>
    <hyperlink ref="B52" r:id="rId2" xr:uid="{E2C94A89-67A2-4458-8DFB-B39E38EA6708}"/>
    <hyperlink ref="B82" r:id="rId3" xr:uid="{BB6FC45D-F78A-46F1-B2F1-61AE47FADB40}"/>
    <hyperlink ref="B101" r:id="rId4" xr:uid="{0B8FA6C2-09CA-4726-977E-3344F48FD0BC}"/>
    <hyperlink ref="B102" r:id="rId5" xr:uid="{C973AACD-15C0-4746-A331-9CC57C7BBBD7}"/>
    <hyperlink ref="B130" r:id="rId6" xr:uid="{587ECD5E-5E50-4C3D-82E3-3A2F844573A2}"/>
    <hyperlink ref="B157" r:id="rId7" xr:uid="{89FE9597-012F-4AEB-AEFE-C3931BB54D54}"/>
    <hyperlink ref="B156" r:id="rId8" xr:uid="{B02381DB-E6CF-49EA-B515-9EAC1B4CCE5B}"/>
    <hyperlink ref="B236" r:id="rId9" xr:uid="{932819A4-0115-4CB9-A6FC-A28551524C5E}"/>
    <hyperlink ref="B286" r:id="rId10" xr:uid="{630CFF7E-0C9B-4CDC-846F-E28BCD9758C2}"/>
    <hyperlink ref="B321" r:id="rId11" xr:uid="{13B9AEF8-00E5-45A6-87FD-A49F3D4EC3C1}"/>
    <hyperlink ref="B341" r:id="rId12" display="Visit us for more exercises and tutorials! " xr:uid="{95851731-66AA-40FA-A54D-B2FB22A888E2}"/>
    <hyperlink ref="B248" r:id="rId13" xr:uid="{CAFA8A6F-42C7-42CE-9FB8-AEB0F6A4F292}"/>
    <hyperlink ref="B85" r:id="rId14" xr:uid="{BC48D73A-3079-4E28-81B2-9741BDB13926}"/>
  </hyperlinks>
  <pageMargins left="0.7" right="0.7" top="0.75" bottom="0.75" header="0.3" footer="0.3"/>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vt:lpstr>
      <vt:lpstr>Manufacturing country</vt:lpstr>
      <vt:lpstr>Solution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Khoo Zi Wei</cp:lastModifiedBy>
  <cp:revision/>
  <dcterms:created xsi:type="dcterms:W3CDTF">2022-07-27T18:21:06Z</dcterms:created>
  <dcterms:modified xsi:type="dcterms:W3CDTF">2025-11-18T08:27:52Z</dcterms:modified>
  <cp:category/>
  <cp:contentStatus/>
</cp:coreProperties>
</file>