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66925"/>
  <mc:AlternateContent xmlns:mc="http://schemas.openxmlformats.org/markup-compatibility/2006">
    <mc:Choice Requires="x15">
      <x15ac:absPath xmlns:x15ac="http://schemas.microsoft.com/office/spreadsheetml/2010/11/ac" url="C:\Users\user\Dropbox\PC\Documents\Excel_Data_Analytics\Practice\"/>
    </mc:Choice>
  </mc:AlternateContent>
  <xr:revisionPtr revIDLastSave="0" documentId="13_ncr:1_{FAA33719-BA71-4002-93BE-E5DD0147E0BF}" xr6:coauthVersionLast="47" xr6:coauthVersionMax="47" xr10:uidLastSave="{00000000-0000-0000-0000-000000000000}"/>
  <bookViews>
    <workbookView xWindow="28680" yWindow="-120" windowWidth="29040" windowHeight="15720" xr2:uid="{00000000-000D-0000-FFFF-FFFF00000000}"/>
  </bookViews>
  <sheets>
    <sheet name="Question" sheetId="1" r:id="rId1"/>
    <sheet name="Birthdays" sheetId="2" r:id="rId2"/>
    <sheet name="Solution"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5" i="1" l="1"/>
  <c r="D24" i="1"/>
  <c r="C24" i="1"/>
  <c r="C25" i="1"/>
  <c r="C27" i="1"/>
  <c r="B25" i="1" a="1"/>
  <c r="B25" i="1" s="1"/>
  <c r="B24" i="1" a="1"/>
  <c r="B24" i="1" s="1"/>
  <c r="C19" i="1"/>
  <c r="C18" i="1"/>
  <c r="B19" i="1"/>
  <c r="B18" i="1"/>
  <c r="F35" i="3"/>
  <c r="C65" i="3"/>
  <c r="B36" i="3"/>
  <c r="B35" i="3"/>
  <c r="D19" i="3"/>
  <c r="D18" i="3"/>
  <c r="B19" i="3"/>
  <c r="B18" i="3"/>
  <c r="E19" i="3"/>
  <c r="G36" i="3"/>
  <c r="G35" i="3"/>
  <c r="C19" i="3"/>
  <c r="E35" i="3"/>
  <c r="C35" i="3"/>
  <c r="E36" i="3"/>
  <c r="C18" i="3"/>
  <c r="E18" i="3"/>
  <c r="D65" i="3"/>
  <c r="C36" i="3"/>
  <c r="D35" i="3" l="1"/>
  <c r="F36" i="3"/>
  <c r="D36"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<sst xmlns="http://schemas.openxmlformats.org/spreadsheetml/2006/main" count="118" uniqueCount="74">
  <si>
    <t>Below is the table of 1998-1999 Top Scores in the Premier League:</t>
  </si>
  <si>
    <t>Player Name</t>
  </si>
  <si>
    <t>Club</t>
  </si>
  <si>
    <t>Goals Scored</t>
  </si>
  <si>
    <r>
      <t> </t>
    </r>
    <r>
      <rPr>
        <sz val="11"/>
        <color rgb="FF000000"/>
        <rFont val="Arial"/>
        <family val="2"/>
      </rPr>
      <t>Jimmy Floyd Hasselbaink</t>
    </r>
  </si>
  <si>
    <t>Leeds United</t>
  </si>
  <si>
    <r>
      <t> </t>
    </r>
    <r>
      <rPr>
        <sz val="11"/>
        <color rgb="FF000000"/>
        <rFont val="Arial"/>
        <family val="2"/>
      </rPr>
      <t>Michael Owen</t>
    </r>
  </si>
  <si>
    <t>Liverpool</t>
  </si>
  <si>
    <r>
      <t> </t>
    </r>
    <r>
      <rPr>
        <sz val="11"/>
        <color rgb="FF000000"/>
        <rFont val="Arial"/>
        <family val="2"/>
      </rPr>
      <t>Dwight Yorke</t>
    </r>
  </si>
  <si>
    <t>Manchester United</t>
  </si>
  <si>
    <r>
      <t> </t>
    </r>
    <r>
      <rPr>
        <sz val="11"/>
        <color rgb="FF000000"/>
        <rFont val="Arial"/>
        <family val="2"/>
      </rPr>
      <t>Nicolas Anelka</t>
    </r>
  </si>
  <si>
    <t>Arsenal</t>
  </si>
  <si>
    <r>
      <t> </t>
    </r>
    <r>
      <rPr>
        <sz val="11"/>
        <color rgb="FF000000"/>
        <rFont val="Arial"/>
        <family val="2"/>
      </rPr>
      <t>Andy Cole</t>
    </r>
  </si>
  <si>
    <r>
      <t> </t>
    </r>
    <r>
      <rPr>
        <sz val="11"/>
        <color rgb="FF000000"/>
        <rFont val="Arial"/>
        <family val="2"/>
      </rPr>
      <t>Hamilton Ricard</t>
    </r>
  </si>
  <si>
    <t>Middlesbrough</t>
  </si>
  <si>
    <r>
      <t> </t>
    </r>
    <r>
      <rPr>
        <sz val="11"/>
        <color rgb="FF000000"/>
        <rFont val="Arial"/>
        <family val="2"/>
      </rPr>
      <t>Dion Dublin</t>
    </r>
  </si>
  <si>
    <t>Aston Villa</t>
  </si>
  <si>
    <r>
      <t> </t>
    </r>
    <r>
      <rPr>
        <sz val="11"/>
        <color rgb="FF000000"/>
        <rFont val="Arial"/>
        <family val="2"/>
      </rPr>
      <t>Robbie Fowler</t>
    </r>
  </si>
  <si>
    <r>
      <t> </t>
    </r>
    <r>
      <rPr>
        <sz val="11"/>
        <color rgb="FF000000"/>
        <rFont val="Arial"/>
        <family val="2"/>
      </rPr>
      <t>Julian Joachim</t>
    </r>
  </si>
  <si>
    <r>
      <t> </t>
    </r>
    <r>
      <rPr>
        <sz val="11"/>
        <color rgb="FF000000"/>
        <rFont val="Arial"/>
        <family val="2"/>
      </rPr>
      <t>Alan Shearer</t>
    </r>
  </si>
  <si>
    <t>Newcastle United</t>
  </si>
  <si>
    <t>Complete the following table:</t>
  </si>
  <si>
    <t>No. Of Top Scorers</t>
  </si>
  <si>
    <t>Total no. Of Goals Scored</t>
  </si>
  <si>
    <t>Retrieve the birthday for the following players from the data in "Birthdays" worksheet and complete the table:</t>
  </si>
  <si>
    <t>Birthday</t>
  </si>
  <si>
    <t>Weekday number</t>
  </si>
  <si>
    <t>Weekday name</t>
  </si>
  <si>
    <t>Dwight Yorke</t>
  </si>
  <si>
    <t>Robbie      Fowler</t>
  </si>
  <si>
    <t>How many players scored more than 15 goals?</t>
  </si>
  <si>
    <t>Player</t>
  </si>
  <si>
    <t>Michael Owen</t>
  </si>
  <si>
    <t>Hamilton Ricard</t>
  </si>
  <si>
    <t>Robbie Fowler</t>
  </si>
  <si>
    <t>Alan Shearer</t>
  </si>
  <si>
    <t>Jimmy Floyd Hasselbaink</t>
  </si>
  <si>
    <t>Nicolas Anelka</t>
  </si>
  <si>
    <t>Andy Cole</t>
  </si>
  <si>
    <t>Dion Dublin</t>
  </si>
  <si>
    <t>Julian Joachim</t>
  </si>
  <si>
    <t xml:space="preserve">Using COUNTIF function, we can count the number of occurences of each value in a range. </t>
  </si>
  <si>
    <t xml:space="preserve">Using SUMIF function, we can sum a range of cells based on a certain criteria. </t>
  </si>
  <si>
    <t xml:space="preserve">Syntax - </t>
  </si>
  <si>
    <t>=COUNTIF(range, criteria)</t>
  </si>
  <si>
    <t>=SUMIF(range, criteria, [sum_range])</t>
  </si>
  <si>
    <t xml:space="preserve">First, we'll type the range we'd like to check. Next - We'll select the criteria that we want to count. </t>
  </si>
  <si>
    <t xml:space="preserve">First, we'll type the range in which we want to check the criteria. </t>
  </si>
  <si>
    <t xml:space="preserve">Second, we'll select the criteria to be checked - the team name. </t>
  </si>
  <si>
    <t xml:space="preserve">Last, we'll type the range that we'd like to sum. </t>
  </si>
  <si>
    <t xml:space="preserve">Note that both in the COUNTIF function, as well as the SUMIF function, we used absolute references (the $ signs) in the ranges we typed - to allow us to reuse the formulas in additional cells. </t>
  </si>
  <si>
    <t>1. INDEX MATCH &amp; TRIM</t>
  </si>
  <si>
    <t>Our first instinct is to use VLOOKUP to retreive the birthday...</t>
  </si>
  <si>
    <t xml:space="preserve">However - It won't work. </t>
  </si>
  <si>
    <t xml:space="preserve">VLOOKUP is useful when the value we'd like to return is located in a column which is after the column in which we want to lookup the value. This is not the case. </t>
  </si>
  <si>
    <t>Therefore, we can use the INDEX MATCH combination instead - Which allows us to return values from any column we want, regardless of the position of the lookup column!</t>
  </si>
  <si>
    <t>When we use INDEX MATCH, we first tell Excel where is the column with the values to be returned (INDEX), and only then we ask Excel to find the position of the lookup value in the other column (MATCH)</t>
  </si>
  <si>
    <t>Click here for additional explanation about INDEX MATCH!</t>
  </si>
  <si>
    <t xml:space="preserve">Now, why did we use the TRIM function? </t>
  </si>
  <si>
    <t xml:space="preserve">TRIM allows us to remove extra spaces from a cell. Did you notice that there are multiple spaces in Robbie Fowler's name? </t>
  </si>
  <si>
    <t>If we don't get rid of the spaces - no lookup function will work, as Excel is looking for EXACT match!</t>
  </si>
  <si>
    <t>2. WEEKDAY</t>
  </si>
  <si>
    <t xml:space="preserve">WEEKDAY is a function that will return the number of the weekday for a specified date. </t>
  </si>
  <si>
    <t>=WEEKDAY(serial_number, [return_type])</t>
  </si>
  <si>
    <t>serial_number</t>
  </si>
  <si>
    <t>The date for which we want to find the weekday.</t>
  </si>
  <si>
    <t>[return_type]</t>
  </si>
  <si>
    <t>Optional. If left empty, Excel assumes that the week starts on Sunday. In our example, we typed 2 - This tell Excel that the week starts on Monday!</t>
  </si>
  <si>
    <t>3. TEXT function</t>
  </si>
  <si>
    <t xml:space="preserve">The TEXT function allows us to convert numbers into text, using different text formats. </t>
  </si>
  <si>
    <t xml:space="preserve">The "dddd" format will convert the date into text, and return the full name of the date. </t>
  </si>
  <si>
    <t>Other options (try it yourself!) - "ddd", "mmmm", "yyyy"...</t>
  </si>
  <si>
    <t>We can use operators such as greater than (&gt;) within formulas such as COUNTIF, SUMIF, etc.</t>
  </si>
  <si>
    <t xml:space="preserve">To use these operators, first type quotes ("), then type the operator followed by the number, then type quotes again.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</si>
</sst>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u/>
      <sz val="11"/>
      <color theme="10"/>
      <name val="Calibri"/>
      <family val="2"/>
      <scheme val="minor"/>
    </font>
    <font>
      <b/>
      <sz val="11"/>
      <color rgb="FF000000"/>
      <name val="Arial"/>
      <family val="2"/>
    </font>
    <font>
      <sz val="11"/>
      <color rgb="FF000000"/>
      <name val="Calibri"/>
      <family val="2"/>
      <scheme val="minor"/>
    </font>
    <font>
      <sz val="11"/>
      <color rgb="FF000000"/>
      <name val="Arial"/>
      <family val="2"/>
    </font>
    <font>
      <b/>
      <sz val="11"/>
      <color theme="1"/>
      <name val="Calibri"/>
      <family val="2"/>
      <scheme val="minor"/>
    </font>
    <font>
      <b/>
      <sz val="11"/>
      <color rgb="FFFF0000"/>
      <name val="Calibri"/>
      <family val="2"/>
      <scheme val="minor"/>
    </font>
    <font>
      <i/>
      <sz val="11"/>
      <color theme="1"/>
      <name val="Calibri"/>
      <family val="2"/>
      <scheme val="minor"/>
    </font>
    <font>
      <b/>
      <u/>
      <sz val="11"/>
      <color theme="10"/>
      <name val="Calibri"/>
      <family val="2"/>
      <scheme val="minor"/>
    </font>
    <font>
      <b/>
      <u/>
      <sz val="11"/>
      <color theme="1"/>
      <name val="Calibri"/>
      <family val="2"/>
      <scheme val="minor"/>
    </font>
  </fonts>
  <fills count="6">
    <fill>
      <patternFill patternType="none"/>
    </fill>
    <fill>
      <patternFill patternType="gray125"/>
    </fill>
    <fill>
      <patternFill patternType="solid">
        <fgColor rgb="FFEAECF0"/>
        <bgColor indexed="64"/>
      </patternFill>
    </fill>
    <fill>
      <patternFill patternType="solid">
        <fgColor rgb="FFF8F9FA"/>
        <bgColor indexed="64"/>
      </patternFill>
    </fill>
    <fill>
      <patternFill patternType="solid">
        <fgColor rgb="FFFFFF00"/>
        <bgColor indexed="64"/>
      </patternFill>
    </fill>
    <fill>
      <patternFill patternType="solid">
        <fgColor rgb="FFFFFFFF"/>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1" fillId="0" borderId="0" applyNumberFormat="0" applyFill="0" applyBorder="0" applyAlignment="0" applyProtection="0"/>
  </cellStyleXfs>
  <cellXfs count="43">
    <xf numFmtId="0" fontId="0" fillId="0" borderId="0" xfId="0"/>
    <xf numFmtId="0" fontId="0" fillId="0" borderId="0" xfId="0" applyAlignment="1">
      <alignment wrapText="1"/>
    </xf>
    <xf numFmtId="0" fontId="0" fillId="0" borderId="5" xfId="0" applyBorder="1"/>
    <xf numFmtId="0" fontId="0" fillId="0" borderId="7" xfId="0" applyBorder="1"/>
    <xf numFmtId="0" fontId="2" fillId="2" borderId="2" xfId="0" applyFont="1" applyFill="1" applyBorder="1" applyAlignment="1">
      <alignment wrapText="1"/>
    </xf>
    <xf numFmtId="0" fontId="2" fillId="2" borderId="3" xfId="0" applyFont="1" applyFill="1" applyBorder="1" applyAlignment="1">
      <alignment wrapText="1"/>
    </xf>
    <xf numFmtId="0" fontId="2" fillId="2" borderId="4" xfId="0" applyFont="1" applyFill="1" applyBorder="1" applyAlignment="1">
      <alignment wrapText="1"/>
    </xf>
    <xf numFmtId="0" fontId="3" fillId="0" borderId="5" xfId="0" applyFont="1" applyBorder="1"/>
    <xf numFmtId="0" fontId="4" fillId="3" borderId="1" xfId="0" applyFont="1" applyFill="1" applyBorder="1" applyAlignment="1">
      <alignment wrapText="1"/>
    </xf>
    <xf numFmtId="0" fontId="3" fillId="0" borderId="7" xfId="0" applyFont="1" applyBorder="1"/>
    <xf numFmtId="0" fontId="4" fillId="3" borderId="8" xfId="0" applyFont="1" applyFill="1" applyBorder="1" applyAlignment="1">
      <alignment wrapText="1"/>
    </xf>
    <xf numFmtId="0" fontId="0" fillId="4" borderId="0" xfId="0" applyFill="1"/>
    <xf numFmtId="0" fontId="0" fillId="4" borderId="1" xfId="0" applyFill="1" applyBorder="1"/>
    <xf numFmtId="0" fontId="0" fillId="4" borderId="6" xfId="0" applyFill="1" applyBorder="1"/>
    <xf numFmtId="0" fontId="0" fillId="4" borderId="8" xfId="0" applyFill="1" applyBorder="1"/>
    <xf numFmtId="0" fontId="0" fillId="4" borderId="9" xfId="0" applyFill="1" applyBorder="1"/>
    <xf numFmtId="0" fontId="5" fillId="0" borderId="0" xfId="0" applyFont="1"/>
    <xf numFmtId="14" fontId="0" fillId="0" borderId="5" xfId="0" applyNumberFormat="1" applyBorder="1"/>
    <xf numFmtId="0" fontId="3" fillId="0" borderId="6" xfId="0" applyFont="1" applyBorder="1"/>
    <xf numFmtId="14" fontId="0" fillId="0" borderId="7" xfId="0" applyNumberFormat="1" applyBorder="1"/>
    <xf numFmtId="0" fontId="3" fillId="0" borderId="9" xfId="0" applyFont="1" applyBorder="1"/>
    <xf numFmtId="0" fontId="5" fillId="0" borderId="2" xfId="0" applyFont="1" applyBorder="1"/>
    <xf numFmtId="0" fontId="5" fillId="0" borderId="4" xfId="0" applyFont="1" applyBorder="1"/>
    <xf numFmtId="0" fontId="5" fillId="0" borderId="3" xfId="0" applyFont="1" applyBorder="1"/>
    <xf numFmtId="0" fontId="2" fillId="5" borderId="2" xfId="0" applyFont="1" applyFill="1" applyBorder="1" applyAlignment="1">
      <alignment wrapText="1"/>
    </xf>
    <xf numFmtId="14" fontId="0" fillId="4" borderId="1" xfId="0" applyNumberFormat="1" applyFill="1" applyBorder="1"/>
    <xf numFmtId="14" fontId="0" fillId="4" borderId="8" xfId="0" applyNumberFormat="1" applyFill="1" applyBorder="1"/>
    <xf numFmtId="0" fontId="6" fillId="0" borderId="0" xfId="0" applyFont="1"/>
    <xf numFmtId="0" fontId="5" fillId="0" borderId="0" xfId="0" quotePrefix="1" applyFont="1"/>
    <xf numFmtId="0" fontId="7" fillId="0" borderId="0" xfId="0" applyFont="1"/>
    <xf numFmtId="0" fontId="8" fillId="0" borderId="0" xfId="1" applyFont="1"/>
    <xf numFmtId="0" fontId="9" fillId="0" borderId="0" xfId="0" applyFont="1"/>
    <xf numFmtId="0" fontId="5" fillId="0" borderId="0" xfId="0" applyFont="1" applyAlignment="1">
      <alignment horizontal="center"/>
    </xf>
    <xf numFmtId="0" fontId="0" fillId="0" borderId="0" xfId="0" quotePrefix="1" applyFont="1"/>
    <xf numFmtId="0" fontId="4" fillId="3" borderId="6" xfId="0" applyFont="1" applyFill="1" applyBorder="1" applyAlignment="1">
      <alignment horizontal="left" wrapText="1"/>
    </xf>
    <xf numFmtId="0" fontId="4" fillId="3" borderId="9" xfId="0" applyFont="1" applyFill="1" applyBorder="1" applyAlignment="1">
      <alignment horizontal="left" wrapText="1"/>
    </xf>
    <xf numFmtId="0" fontId="0" fillId="4" borderId="1" xfId="0" applyFill="1" applyBorder="1" applyProtection="1">
      <protection locked="0"/>
    </xf>
    <xf numFmtId="0" fontId="0" fillId="4" borderId="6" xfId="0" applyFill="1" applyBorder="1" applyProtection="1">
      <protection locked="0"/>
    </xf>
    <xf numFmtId="0" fontId="0" fillId="4" borderId="8" xfId="0" applyFill="1" applyBorder="1" applyProtection="1">
      <protection locked="0"/>
    </xf>
    <xf numFmtId="0" fontId="0" fillId="4" borderId="9" xfId="0" applyFill="1" applyBorder="1" applyProtection="1">
      <protection locked="0"/>
    </xf>
    <xf numFmtId="0" fontId="0" fillId="4" borderId="0" xfId="0" applyFill="1" applyProtection="1">
      <protection locked="0"/>
    </xf>
    <xf numFmtId="14" fontId="0" fillId="4" borderId="1" xfId="0" applyNumberFormat="1" applyFill="1" applyBorder="1" applyProtection="1">
      <protection locked="0"/>
    </xf>
    <xf numFmtId="14" fontId="0" fillId="4" borderId="8" xfId="0" applyNumberFormat="1" applyFill="1" applyBorder="1" applyProtection="1">
      <protection locked="0"/>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excel-practice-online.com/functions/index-mat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tabSelected="1" workbookViewId="0">
      <selection activeCell="F19" sqref="F19"/>
    </sheetView>
  </sheetViews>
  <sheetFormatPr defaultRowHeight="14.5" x14ac:dyDescent="0.35"/>
  <cols>
    <col min="1" max="1" width="27.1796875" customWidth="1"/>
    <col min="2" max="2" width="21.1796875" customWidth="1"/>
    <col min="3" max="3" width="27.453125" customWidth="1"/>
    <col min="4" max="4" width="18.1796875" customWidth="1"/>
  </cols>
  <sheetData>
    <row r="1" spans="1:3" x14ac:dyDescent="0.35">
      <c r="A1" t="s">
        <v>0</v>
      </c>
    </row>
    <row r="3" spans="1:3" ht="19.5" customHeight="1" x14ac:dyDescent="0.35">
      <c r="A3" s="4" t="s">
        <v>1</v>
      </c>
      <c r="B3" s="5" t="s">
        <v>2</v>
      </c>
      <c r="C3" s="6" t="s">
        <v>3</v>
      </c>
    </row>
    <row r="4" spans="1:3" ht="15" customHeight="1" x14ac:dyDescent="0.35">
      <c r="A4" s="7" t="s">
        <v>4</v>
      </c>
      <c r="B4" s="8" t="s">
        <v>5</v>
      </c>
      <c r="C4" s="34">
        <v>18</v>
      </c>
    </row>
    <row r="5" spans="1:3" x14ac:dyDescent="0.35">
      <c r="A5" s="7" t="s">
        <v>6</v>
      </c>
      <c r="B5" s="8" t="s">
        <v>7</v>
      </c>
      <c r="C5" s="34">
        <v>18</v>
      </c>
    </row>
    <row r="6" spans="1:3" x14ac:dyDescent="0.35">
      <c r="A6" s="7" t="s">
        <v>8</v>
      </c>
      <c r="B6" s="8" t="s">
        <v>9</v>
      </c>
      <c r="C6" s="34">
        <v>18</v>
      </c>
    </row>
    <row r="7" spans="1:3" ht="15" customHeight="1" x14ac:dyDescent="0.35">
      <c r="A7" s="7" t="s">
        <v>10</v>
      </c>
      <c r="B7" s="8" t="s">
        <v>11</v>
      </c>
      <c r="C7" s="34">
        <v>17</v>
      </c>
    </row>
    <row r="8" spans="1:3" x14ac:dyDescent="0.35">
      <c r="A8" s="7" t="s">
        <v>12</v>
      </c>
      <c r="B8" s="8" t="s">
        <v>9</v>
      </c>
      <c r="C8" s="34">
        <v>17</v>
      </c>
    </row>
    <row r="9" spans="1:3" x14ac:dyDescent="0.35">
      <c r="A9" s="7" t="s">
        <v>13</v>
      </c>
      <c r="B9" s="8" t="s">
        <v>14</v>
      </c>
      <c r="C9" s="34">
        <v>15</v>
      </c>
    </row>
    <row r="10" spans="1:3" ht="15" customHeight="1" x14ac:dyDescent="0.35">
      <c r="A10" s="7" t="s">
        <v>15</v>
      </c>
      <c r="B10" s="8" t="s">
        <v>16</v>
      </c>
      <c r="C10" s="34">
        <v>14</v>
      </c>
    </row>
    <row r="11" spans="1:3" x14ac:dyDescent="0.35">
      <c r="A11" s="7" t="s">
        <v>17</v>
      </c>
      <c r="B11" s="8" t="s">
        <v>7</v>
      </c>
      <c r="C11" s="34">
        <v>14</v>
      </c>
    </row>
    <row r="12" spans="1:3" x14ac:dyDescent="0.35">
      <c r="A12" s="7" t="s">
        <v>18</v>
      </c>
      <c r="B12" s="8" t="s">
        <v>16</v>
      </c>
      <c r="C12" s="34">
        <v>14</v>
      </c>
    </row>
    <row r="13" spans="1:3" x14ac:dyDescent="0.35">
      <c r="A13" s="9" t="s">
        <v>19</v>
      </c>
      <c r="B13" s="10" t="s">
        <v>20</v>
      </c>
      <c r="C13" s="35">
        <v>14</v>
      </c>
    </row>
    <row r="14" spans="1:3" x14ac:dyDescent="0.35">
      <c r="A14" s="1"/>
      <c r="B14" s="1"/>
      <c r="C14" s="1"/>
    </row>
    <row r="15" spans="1:3" x14ac:dyDescent="0.35">
      <c r="A15" s="16" t="s">
        <v>21</v>
      </c>
    </row>
    <row r="17" spans="1:4" x14ac:dyDescent="0.35">
      <c r="A17" s="21" t="s">
        <v>2</v>
      </c>
      <c r="B17" s="23" t="s">
        <v>22</v>
      </c>
      <c r="C17" s="22" t="s">
        <v>23</v>
      </c>
    </row>
    <row r="18" spans="1:4" x14ac:dyDescent="0.35">
      <c r="A18" s="2" t="s">
        <v>9</v>
      </c>
      <c r="B18" s="36">
        <f>COUNTIF(B4:B13,A18)</f>
        <v>2</v>
      </c>
      <c r="C18" s="37">
        <f>SUMIF(B4:B13,A18,C4:C13)</f>
        <v>35</v>
      </c>
    </row>
    <row r="19" spans="1:4" x14ac:dyDescent="0.35">
      <c r="A19" s="3" t="s">
        <v>7</v>
      </c>
      <c r="B19" s="38">
        <f>COUNTIF(B4:B13,A19)</f>
        <v>2</v>
      </c>
      <c r="C19" s="39">
        <f>SUMIF(B4:B13,A19,C4:C13)</f>
        <v>32</v>
      </c>
    </row>
    <row r="21" spans="1:4" x14ac:dyDescent="0.35">
      <c r="A21" s="16" t="s">
        <v>24</v>
      </c>
    </row>
    <row r="23" spans="1:4" x14ac:dyDescent="0.35">
      <c r="A23" s="24" t="s">
        <v>1</v>
      </c>
      <c r="B23" s="23" t="s">
        <v>25</v>
      </c>
      <c r="C23" s="23" t="s">
        <v>26</v>
      </c>
      <c r="D23" s="22" t="s">
        <v>27</v>
      </c>
    </row>
    <row r="24" spans="1:4" x14ac:dyDescent="0.35">
      <c r="A24" s="2" t="s">
        <v>28</v>
      </c>
      <c r="B24" s="41" cm="1">
        <f t="array" ref="B24">_xlfn.XLOOKUP(TRIM(Question!A24),TRIM(Birthdays!$B$2:$B$6),Birthdays!$A$2:$A$6)</f>
        <v>29203</v>
      </c>
      <c r="C24" s="36">
        <f>WEEKDAY(B24,2)</f>
        <v>5</v>
      </c>
      <c r="D24" s="37" t="str">
        <f>TEXT(C24+1,"dddd")</f>
        <v>Friday</v>
      </c>
    </row>
    <row r="25" spans="1:4" x14ac:dyDescent="0.35">
      <c r="A25" s="3" t="s">
        <v>29</v>
      </c>
      <c r="B25" s="42" cm="1">
        <f t="array" ref="B25">_xlfn.XLOOKUP(TRIM(Question!A25),TRIM(Birthdays!$B$2:$B$6),Birthdays!$A$2:$A$6)</f>
        <v>27493</v>
      </c>
      <c r="C25" s="38">
        <f>WEEKDAY(B25,2)</f>
        <v>3</v>
      </c>
      <c r="D25" s="39" t="str">
        <f>TEXT(C25+1,"dddd")</f>
        <v>Wednesday</v>
      </c>
    </row>
    <row r="27" spans="1:4" x14ac:dyDescent="0.35">
      <c r="A27" s="16" t="s">
        <v>30</v>
      </c>
      <c r="C27" s="40">
        <f>COUNTIF(C4:C13,"&gt;15")</f>
        <v>5</v>
      </c>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CF47D-0686-4144-8F93-1A28B2B4906C}">
  <dimension ref="A1:B6"/>
  <sheetViews>
    <sheetView workbookViewId="0">
      <selection activeCell="B2" sqref="B2"/>
    </sheetView>
  </sheetViews>
  <sheetFormatPr defaultRowHeight="14.5" x14ac:dyDescent="0.35"/>
  <cols>
    <col min="1" max="1" width="10.81640625" bestFit="1" customWidth="1"/>
    <col min="2" max="2" width="16.54296875" bestFit="1" customWidth="1"/>
  </cols>
  <sheetData>
    <row r="1" spans="1:2" x14ac:dyDescent="0.35">
      <c r="A1" s="21" t="s">
        <v>25</v>
      </c>
      <c r="B1" s="22" t="s">
        <v>31</v>
      </c>
    </row>
    <row r="2" spans="1:2" x14ac:dyDescent="0.35">
      <c r="A2" s="17">
        <v>26240</v>
      </c>
      <c r="B2" s="18" t="s">
        <v>32</v>
      </c>
    </row>
    <row r="3" spans="1:2" x14ac:dyDescent="0.35">
      <c r="A3" s="17">
        <v>29203</v>
      </c>
      <c r="B3" s="18" t="s">
        <v>28</v>
      </c>
    </row>
    <row r="4" spans="1:2" x14ac:dyDescent="0.35">
      <c r="A4" s="17">
        <v>27041</v>
      </c>
      <c r="B4" s="18" t="s">
        <v>33</v>
      </c>
    </row>
    <row r="5" spans="1:2" x14ac:dyDescent="0.35">
      <c r="A5" s="17">
        <v>27493</v>
      </c>
      <c r="B5" s="18" t="s">
        <v>34</v>
      </c>
    </row>
    <row r="6" spans="1:2" x14ac:dyDescent="0.35">
      <c r="A6" s="19">
        <v>25793</v>
      </c>
      <c r="B6" s="20" t="s">
        <v>35</v>
      </c>
    </row>
  </sheetData>
  <sheetProtection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9C67E-4830-4C6D-97D8-AF37941F6431}">
  <dimension ref="A1:G68"/>
  <sheetViews>
    <sheetView topLeftCell="A15" workbookViewId="0">
      <selection activeCell="B35" sqref="B35"/>
    </sheetView>
  </sheetViews>
  <sheetFormatPr defaultRowHeight="14.5" x14ac:dyDescent="0.35"/>
  <cols>
    <col min="1" max="1" width="27.1796875" customWidth="1"/>
    <col min="2" max="2" width="21.1796875" customWidth="1"/>
    <col min="3" max="3" width="64.54296875" customWidth="1"/>
    <col min="4" max="4" width="23.7265625" bestFit="1" customWidth="1"/>
    <col min="5" max="5" width="17.54296875" customWidth="1"/>
    <col min="6" max="6" width="15" customWidth="1"/>
  </cols>
  <sheetData>
    <row r="1" spans="1:3" x14ac:dyDescent="0.35">
      <c r="A1" t="s">
        <v>0</v>
      </c>
    </row>
    <row r="3" spans="1:3" ht="19.5" customHeight="1" x14ac:dyDescent="0.35">
      <c r="A3" s="4" t="s">
        <v>1</v>
      </c>
      <c r="B3" s="5" t="s">
        <v>2</v>
      </c>
      <c r="C3" s="6" t="s">
        <v>3</v>
      </c>
    </row>
    <row r="4" spans="1:3" ht="15" customHeight="1" x14ac:dyDescent="0.35">
      <c r="A4" s="7" t="s">
        <v>36</v>
      </c>
      <c r="B4" s="8" t="s">
        <v>5</v>
      </c>
      <c r="C4" s="34">
        <v>18</v>
      </c>
    </row>
    <row r="5" spans="1:3" x14ac:dyDescent="0.35">
      <c r="A5" s="7" t="s">
        <v>32</v>
      </c>
      <c r="B5" s="8" t="s">
        <v>7</v>
      </c>
      <c r="C5" s="34">
        <v>18</v>
      </c>
    </row>
    <row r="6" spans="1:3" x14ac:dyDescent="0.35">
      <c r="A6" s="7" t="s">
        <v>28</v>
      </c>
      <c r="B6" s="8" t="s">
        <v>9</v>
      </c>
      <c r="C6" s="34">
        <v>18</v>
      </c>
    </row>
    <row r="7" spans="1:3" ht="15" customHeight="1" x14ac:dyDescent="0.35">
      <c r="A7" s="7" t="s">
        <v>37</v>
      </c>
      <c r="B7" s="8" t="s">
        <v>11</v>
      </c>
      <c r="C7" s="34">
        <v>17</v>
      </c>
    </row>
    <row r="8" spans="1:3" x14ac:dyDescent="0.35">
      <c r="A8" s="7" t="s">
        <v>38</v>
      </c>
      <c r="B8" s="8" t="s">
        <v>9</v>
      </c>
      <c r="C8" s="34">
        <v>17</v>
      </c>
    </row>
    <row r="9" spans="1:3" x14ac:dyDescent="0.35">
      <c r="A9" s="7" t="s">
        <v>33</v>
      </c>
      <c r="B9" s="8" t="s">
        <v>14</v>
      </c>
      <c r="C9" s="34">
        <v>15</v>
      </c>
    </row>
    <row r="10" spans="1:3" ht="15" customHeight="1" x14ac:dyDescent="0.35">
      <c r="A10" s="7" t="s">
        <v>39</v>
      </c>
      <c r="B10" s="8" t="s">
        <v>16</v>
      </c>
      <c r="C10" s="34">
        <v>14</v>
      </c>
    </row>
    <row r="11" spans="1:3" x14ac:dyDescent="0.35">
      <c r="A11" s="7" t="s">
        <v>34</v>
      </c>
      <c r="B11" s="8" t="s">
        <v>7</v>
      </c>
      <c r="C11" s="34">
        <v>14</v>
      </c>
    </row>
    <row r="12" spans="1:3" x14ac:dyDescent="0.35">
      <c r="A12" s="7" t="s">
        <v>40</v>
      </c>
      <c r="B12" s="8" t="s">
        <v>16</v>
      </c>
      <c r="C12" s="34">
        <v>14</v>
      </c>
    </row>
    <row r="13" spans="1:3" x14ac:dyDescent="0.35">
      <c r="A13" s="9" t="s">
        <v>35</v>
      </c>
      <c r="B13" s="10" t="s">
        <v>20</v>
      </c>
      <c r="C13" s="35">
        <v>14</v>
      </c>
    </row>
    <row r="14" spans="1:3" x14ac:dyDescent="0.35">
      <c r="A14" s="1"/>
      <c r="B14" s="1"/>
      <c r="C14" s="1"/>
    </row>
    <row r="15" spans="1:3" x14ac:dyDescent="0.35">
      <c r="A15" s="16" t="s">
        <v>21</v>
      </c>
    </row>
    <row r="17" spans="1:5" x14ac:dyDescent="0.35">
      <c r="A17" s="21" t="s">
        <v>2</v>
      </c>
      <c r="B17" s="23" t="s">
        <v>22</v>
      </c>
      <c r="D17" s="22" t="s">
        <v>23</v>
      </c>
    </row>
    <row r="18" spans="1:5" x14ac:dyDescent="0.35">
      <c r="A18" s="2" t="s">
        <v>9</v>
      </c>
      <c r="B18" s="12">
        <f>COUNTIF($B$4:$B$13,A18)</f>
        <v>2</v>
      </c>
      <c r="C18" s="27" t="str">
        <f ca="1">_xlfn.FORMULATEXT(B18)</f>
        <v>=COUNTIF($B$4:$B$13,A18)</v>
      </c>
      <c r="D18" s="13">
        <f>SUMIF($B$4:$B$13,A18,$C$4:$C$13)</f>
        <v>35</v>
      </c>
      <c r="E18" s="27" t="str">
        <f ca="1">_xlfn.FORMULATEXT(D18)</f>
        <v>=SUMIF($B$4:$B$13,A18,$C$4:$C$13)</v>
      </c>
    </row>
    <row r="19" spans="1:5" x14ac:dyDescent="0.35">
      <c r="A19" s="3" t="s">
        <v>7</v>
      </c>
      <c r="B19" s="14">
        <f>COUNTIF($B$4:$B$13,A19)</f>
        <v>2</v>
      </c>
      <c r="C19" s="27" t="str">
        <f ca="1">_xlfn.FORMULATEXT(B19)</f>
        <v>=COUNTIF($B$4:$B$13,A19)</v>
      </c>
      <c r="D19" s="15">
        <f>SUMIF($B$4:$B$13,A19,$C$4:$C$13)</f>
        <v>32</v>
      </c>
      <c r="E19" s="27" t="str">
        <f ca="1">_xlfn.FORMULATEXT(D19)</f>
        <v>=SUMIF($B$4:$B$13,A19,$C$4:$C$13)</v>
      </c>
    </row>
    <row r="21" spans="1:5" x14ac:dyDescent="0.35">
      <c r="A21" t="s">
        <v>41</v>
      </c>
      <c r="D21" t="s">
        <v>42</v>
      </c>
    </row>
    <row r="22" spans="1:5" x14ac:dyDescent="0.35">
      <c r="A22" s="16" t="s">
        <v>43</v>
      </c>
      <c r="B22" s="28" t="s">
        <v>44</v>
      </c>
      <c r="D22" s="16" t="s">
        <v>43</v>
      </c>
      <c r="E22" s="28" t="s">
        <v>45</v>
      </c>
    </row>
    <row r="23" spans="1:5" x14ac:dyDescent="0.35">
      <c r="A23" s="16"/>
      <c r="B23" s="28"/>
      <c r="D23" s="16"/>
      <c r="E23" s="28"/>
    </row>
    <row r="24" spans="1:5" x14ac:dyDescent="0.35">
      <c r="A24" s="16"/>
      <c r="B24" s="28"/>
      <c r="D24" s="16"/>
      <c r="E24" s="28"/>
    </row>
    <row r="25" spans="1:5" x14ac:dyDescent="0.35">
      <c r="A25" t="s">
        <v>46</v>
      </c>
      <c r="D25" t="s">
        <v>47</v>
      </c>
    </row>
    <row r="26" spans="1:5" x14ac:dyDescent="0.35">
      <c r="D26" t="s">
        <v>48</v>
      </c>
    </row>
    <row r="27" spans="1:5" x14ac:dyDescent="0.35">
      <c r="D27" t="s">
        <v>49</v>
      </c>
    </row>
    <row r="29" spans="1:5" x14ac:dyDescent="0.35">
      <c r="A29" s="29" t="s">
        <v>50</v>
      </c>
    </row>
    <row r="32" spans="1:5" x14ac:dyDescent="0.35">
      <c r="A32" s="16" t="s">
        <v>24</v>
      </c>
    </row>
    <row r="34" spans="1:7" x14ac:dyDescent="0.35">
      <c r="A34" s="24" t="s">
        <v>1</v>
      </c>
      <c r="B34" s="23" t="s">
        <v>25</v>
      </c>
      <c r="C34" s="32">
        <v>1</v>
      </c>
      <c r="D34" s="23" t="s">
        <v>26</v>
      </c>
      <c r="E34" s="32">
        <v>2</v>
      </c>
      <c r="F34" s="22" t="s">
        <v>27</v>
      </c>
      <c r="G34" s="32">
        <v>3</v>
      </c>
    </row>
    <row r="35" spans="1:7" x14ac:dyDescent="0.35">
      <c r="A35" s="2" t="s">
        <v>28</v>
      </c>
      <c r="B35" s="25">
        <f>INDEX(Birthdays!$A$2:$A$6,MATCH(TRIM(A35),Birthdays!$B$2:$B$6,0))</f>
        <v>29203</v>
      </c>
      <c r="C35" s="27" t="str">
        <f t="shared" ref="C35:C36" ca="1" si="0">_xlfn.FORMULATEXT(B35)</f>
        <v>=INDEX(Birthdays!$A$2:$A$6,MATCH(TRIM(A35),Birthdays!$B$2:$B$6,0))</v>
      </c>
      <c r="D35" s="12">
        <f>WEEKDAY(B35,2)</f>
        <v>5</v>
      </c>
      <c r="E35" s="27" t="str">
        <f ca="1">_xlfn.FORMULATEXT(D35)</f>
        <v>=WEEKDAY(B35,2)</v>
      </c>
      <c r="F35" s="13" t="str">
        <f>TEXT(B35,"dddd")</f>
        <v>יום שישי</v>
      </c>
      <c r="G35" s="27" t="str">
        <f t="shared" ref="G35:G36" ca="1" si="1">_xlfn.FORMULATEXT(F35)</f>
        <v>=TEXT(B35,"dddd")</v>
      </c>
    </row>
    <row r="36" spans="1:7" x14ac:dyDescent="0.35">
      <c r="A36" s="3" t="s">
        <v>29</v>
      </c>
      <c r="B36" s="26">
        <f>INDEX(Birthdays!$A$2:$A$6,MATCH(TRIM(A36),Birthdays!$B$2:$B$6,0))</f>
        <v>27493</v>
      </c>
      <c r="C36" s="27" t="str">
        <f t="shared" ca="1" si="0"/>
        <v>=INDEX(Birthdays!$A$2:$A$6,MATCH(TRIM(A36),Birthdays!$B$2:$B$6,0))</v>
      </c>
      <c r="D36" s="14">
        <f>WEEKDAY(B36,2)</f>
        <v>3</v>
      </c>
      <c r="E36" s="27" t="str">
        <f ca="1">_xlfn.FORMULATEXT(D36)</f>
        <v>=WEEKDAY(B36,2)</v>
      </c>
      <c r="F36" s="15" t="str">
        <f>TEXT(B36,"dddd")</f>
        <v>יום רביעי</v>
      </c>
      <c r="G36" s="27" t="str">
        <f t="shared" ca="1" si="1"/>
        <v>=TEXT(B36,"dddd")</v>
      </c>
    </row>
    <row r="38" spans="1:7" x14ac:dyDescent="0.35">
      <c r="A38" s="31" t="s">
        <v>51</v>
      </c>
    </row>
    <row r="40" spans="1:7" x14ac:dyDescent="0.35">
      <c r="A40" t="s">
        <v>52</v>
      </c>
    </row>
    <row r="41" spans="1:7" x14ac:dyDescent="0.35">
      <c r="A41" s="16" t="s">
        <v>53</v>
      </c>
    </row>
    <row r="42" spans="1:7" x14ac:dyDescent="0.35">
      <c r="A42" t="s">
        <v>54</v>
      </c>
    </row>
    <row r="43" spans="1:7" x14ac:dyDescent="0.35">
      <c r="A43" t="s">
        <v>55</v>
      </c>
    </row>
    <row r="44" spans="1:7" x14ac:dyDescent="0.35">
      <c r="A44" t="s">
        <v>56</v>
      </c>
    </row>
    <row r="45" spans="1:7" x14ac:dyDescent="0.35">
      <c r="A45" s="30" t="s">
        <v>57</v>
      </c>
    </row>
    <row r="47" spans="1:7" x14ac:dyDescent="0.35">
      <c r="A47" t="s">
        <v>58</v>
      </c>
    </row>
    <row r="48" spans="1:7" x14ac:dyDescent="0.35">
      <c r="A48" t="s">
        <v>59</v>
      </c>
    </row>
    <row r="49" spans="1:2" x14ac:dyDescent="0.35">
      <c r="A49" s="16" t="s">
        <v>60</v>
      </c>
    </row>
    <row r="51" spans="1:2" x14ac:dyDescent="0.35">
      <c r="A51" s="31" t="s">
        <v>61</v>
      </c>
    </row>
    <row r="53" spans="1:2" x14ac:dyDescent="0.35">
      <c r="A53" t="s">
        <v>62</v>
      </c>
    </row>
    <row r="54" spans="1:2" x14ac:dyDescent="0.35">
      <c r="A54" t="s">
        <v>43</v>
      </c>
      <c r="B54" s="28" t="s">
        <v>63</v>
      </c>
    </row>
    <row r="55" spans="1:2" x14ac:dyDescent="0.35">
      <c r="B55" s="28"/>
    </row>
    <row r="56" spans="1:2" x14ac:dyDescent="0.35">
      <c r="A56" s="16" t="s">
        <v>64</v>
      </c>
      <c r="B56" s="33" t="s">
        <v>65</v>
      </c>
    </row>
    <row r="57" spans="1:2" x14ac:dyDescent="0.35">
      <c r="A57" s="16" t="s">
        <v>66</v>
      </c>
      <c r="B57" s="33" t="s">
        <v>67</v>
      </c>
    </row>
    <row r="59" spans="1:2" x14ac:dyDescent="0.35">
      <c r="A59" s="31" t="s">
        <v>68</v>
      </c>
    </row>
    <row r="61" spans="1:2" x14ac:dyDescent="0.35">
      <c r="A61" t="s">
        <v>69</v>
      </c>
    </row>
    <row r="62" spans="1:2" x14ac:dyDescent="0.35">
      <c r="A62" t="s">
        <v>70</v>
      </c>
    </row>
    <row r="63" spans="1:2" x14ac:dyDescent="0.35">
      <c r="A63" t="s">
        <v>71</v>
      </c>
    </row>
    <row r="65" spans="1:4" x14ac:dyDescent="0.35">
      <c r="A65" s="16" t="s">
        <v>30</v>
      </c>
      <c r="C65" s="11">
        <f>COUNTIF(C4:C13,"&gt;15")</f>
        <v>5</v>
      </c>
      <c r="D65" s="27" t="str">
        <f ca="1">_xlfn.FORMULATEXT(C65)</f>
        <v>=COUNTIF(C4:C13,"&gt;15")</v>
      </c>
    </row>
    <row r="67" spans="1:4" x14ac:dyDescent="0.35">
      <c r="A67" t="s">
        <v>72</v>
      </c>
    </row>
    <row r="68" spans="1:4" x14ac:dyDescent="0.35">
      <c r="A68" t="s">
        <v>73</v>
      </c>
    </row>
  </sheetData>
  <sheetProtection sheet="1" objects="1" scenarios="1"/>
  <hyperlinks>
    <hyperlink ref="A45" r:id="rId1" xr:uid="{42888923-F215-4075-957B-2010864D01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vt:lpstr>
      <vt:lpstr>Birthdays</vt:lpstr>
      <vt:lpstr>Solution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Khoo Zi Wei</cp:lastModifiedBy>
  <cp:revision/>
  <dcterms:created xsi:type="dcterms:W3CDTF">2021-06-18T12:49:07Z</dcterms:created>
  <dcterms:modified xsi:type="dcterms:W3CDTF">2025-11-19T09:38:38Z</dcterms:modified>
  <cp:category/>
  <cp:contentStatus/>
</cp:coreProperties>
</file>