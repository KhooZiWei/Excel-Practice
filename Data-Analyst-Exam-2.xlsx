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"/>
    </mc:Choice>
  </mc:AlternateContent>
  <xr:revisionPtr revIDLastSave="0" documentId="13_ncr:1_{2BB9837E-F7FB-4D03-8DDA-751C0F0A2B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" sheetId="1" r:id="rId1"/>
    <sheet name="Solutio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" i="1" l="1" a="1"/>
  <c r="N5" i="1" s="1"/>
  <c r="B238" i="2" a="1"/>
  <c r="B238" i="2" s="1"/>
  <c r="L11" i="1" a="1"/>
  <c r="L11" i="1" s="1"/>
  <c r="L5" i="1" a="1"/>
  <c r="L5" i="1" s="1"/>
  <c r="I5" i="1"/>
  <c r="B266" i="2" a="1"/>
  <c r="B266" i="2"/>
  <c r="B252" i="2" a="1"/>
  <c r="B252" i="2"/>
  <c r="B228" i="2" a="1"/>
  <c r="B228" i="2"/>
  <c r="B176" i="2" a="1"/>
  <c r="B176" i="2"/>
  <c r="B150" i="2" a="1"/>
  <c r="B150" i="2"/>
  <c r="B205" i="2" a="1"/>
  <c r="B205" i="2"/>
  <c r="B116" i="2" a="1"/>
  <c r="B116" i="2"/>
  <c r="B102" i="2" a="1"/>
  <c r="B102" i="2"/>
  <c r="C38" i="2" a="1"/>
  <c r="C38" i="2"/>
  <c r="B77" i="2" a="1"/>
  <c r="B77" i="2"/>
  <c r="B50" i="2" a="1"/>
  <c r="B50" i="2"/>
  <c r="C28" i="2"/>
  <c r="E238" i="2"/>
  <c r="D205" i="2"/>
  <c r="D102" i="2"/>
  <c r="C150" i="2"/>
  <c r="F266" i="2"/>
  <c r="C50" i="2"/>
  <c r="C176" i="2"/>
  <c r="D28" i="2"/>
  <c r="E228" i="2"/>
  <c r="F252" i="2"/>
  <c r="E38" i="2"/>
  <c r="E116" i="2"/>
  <c r="C7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<sst xmlns="http://schemas.openxmlformats.org/spreadsheetml/2006/main" count="270" uniqueCount="122">
  <si>
    <t>Excel-Practice-Online.com Data Analyst Exam</t>
  </si>
  <si>
    <t>Below is the lineup of the Nigeria team that played the Nigeria-Iceland match during World Cup 2018 (Which ended 2-0 to Nigeria!)</t>
  </si>
  <si>
    <t>Complete the following assingments using Excel functions:</t>
  </si>
  <si>
    <t>How many players received a yellow/red card during the game?</t>
  </si>
  <si>
    <t>Return the names of the players that joined the game as substitutes.</t>
  </si>
  <si>
    <t>Return the names of the players that played in more than one position during the game</t>
  </si>
  <si>
    <t>Return the names of the players that played the entire game (From start to the final whistle, without being substituted)</t>
  </si>
  <si>
    <t>player_id</t>
  </si>
  <si>
    <t>player_name</t>
  </si>
  <si>
    <t>player_nickname</t>
  </si>
  <si>
    <t>jersey_number</t>
  </si>
  <si>
    <t>country</t>
  </si>
  <si>
    <t>cards</t>
  </si>
  <si>
    <t>positions</t>
  </si>
  <si>
    <t>Chidozie Collins Awaziem</t>
  </si>
  <si>
    <t>Chidozie Awaziem</t>
  </si>
  <si>
    <t>Nigeria</t>
  </si>
  <si>
    <t>[]</t>
  </si>
  <si>
    <t>Onyinye Wilfred Ndidi</t>
  </si>
  <si>
    <t>Wilfred Ndidi</t>
  </si>
  <si>
    <t>[{'position_id': 13, 'position': 'Right Center Midfield', 'from': '00:00', 'to': '89:47', 'from_period': 1, 'to_period': 2, 'start_reason': 'Starting XI', 'end_reason': 'Tactical Shift'}, {'position_id': 14, 'position': 'Center Midfield', 'from': '89:47', 'to': None, 'from_period': 2, 'to_period': None, 'start_reason': 'Tactical Shift', 'end_reason': 'Final Whistle'}]</t>
  </si>
  <si>
    <t>Alex Iwobi</t>
  </si>
  <si>
    <t>[{'position_id': 15, 'position': 'Left Center Midfield', 'from': '89:40', 'to': '89:47', 'from_period': 2, 'to_period': 2, 'start_reason': 'Substitution - On (Tactical)', 'end_reason': 'Tactical Shift'}, {'position_id': 19, 'position': 'Center Attacking Midfield', 'from': '89:47', 'to': None, 'from_period': 2, 'to_period': None, 'start_reason': 'Tactical Shift', 'end_reason': 'Final Whistle'}]</t>
  </si>
  <si>
    <t>Kelechi Promise Iheanacho</t>
  </si>
  <si>
    <t>Kelechi Iheanacho</t>
  </si>
  <si>
    <t>[{'position_id': 24, 'position': 'Left Center Forward', 'from': '00:00', 'to': '84:03', 'from_period': 1, 'to_period': 2, 'start_reason': 'Starting XI', 'end_reason': 'Substitution - Off (Tactical)'}]</t>
  </si>
  <si>
    <t>Victor Moses</t>
  </si>
  <si>
    <t>[{'position_id': 12, 'position': 'Right Midfield', 'from': '00:00', 'to': None, 'from_period': 1, 'to_period': None, 'start_reason': 'Starting XI', 'end_reason': 'Final Whistle'}]</t>
  </si>
  <si>
    <t>Francis Odinaka Uzoho</t>
  </si>
  <si>
    <t>Francis Uzoho</t>
  </si>
  <si>
    <t>[{'position_id': 1, 'position': 'Goalkeeper', 'from': '00:00', 'to': None, 'from_period': 1, 'to_period': None, 'start_reason': 'Starting XI', 'end_reason': 'Final Whistle'}]</t>
  </si>
  <si>
    <t>William Troost-Ekong</t>
  </si>
  <si>
    <t>[{'position_id': 4, 'position': 'Center Back', 'from': '00:00', 'to': None, 'from_period': 1, 'to_period': None, 'start_reason': 'Starting XI', 'end_reason': 'Final Whistle'}]</t>
  </si>
  <si>
    <t>Odion Jude Ighalo</t>
  </si>
  <si>
    <t>Odion Ighalo</t>
  </si>
  <si>
    <t>[{'position_id': 24, 'position': 'Left Center Forward', 'from': '84:03', 'to': '89:47', 'from_period': 2, 'to_period': 2, 'start_reason': 'Substitution - On (Tactical)', 'end_reason': 'Tactical Shift'}, {'position_id': 22, 'position': 'Right Center Forward', 'from': '89:47', 'to': None, 'from_period': 2, 'to_period': None, 'start_reason': 'Tactical Shift', 'end_reason': 'Final Whistle'}]</t>
  </si>
  <si>
    <t>Brian Oladapo Idowu</t>
  </si>
  <si>
    <t>Brian Idowu</t>
  </si>
  <si>
    <t>[{'time': '43:25', 'card_type': 'Yellow Card', 'reason': 'Foul Committed', 'period': 1}]</t>
  </si>
  <si>
    <t>[{'position_id': 16, 'position': 'Left Midfield', 'from': '00:00', 'to': '45:00', 'from_period': 1, 'to_period': 2, 'start_reason': 'Starting XI', 'end_reason': 'Substitution - Off (Tactical)'}]</t>
  </si>
  <si>
    <t>Simeon Tochukwu Nwankwo</t>
  </si>
  <si>
    <t>Simy</t>
  </si>
  <si>
    <t>Oghenekaro Etebo</t>
  </si>
  <si>
    <t>Peter Etebo</t>
  </si>
  <si>
    <t>[{'position_id': 15, 'position': 'Left Center Midfield', 'from': '00:00', 'to': '89:40', 'from_period': 1, 'to_period': 2, 'start_reason': 'Starting XI', 'end_reason': 'Substitution - Off (Tactical)'}]</t>
  </si>
  <si>
    <t>Leon Aderemi Balogun</t>
  </si>
  <si>
    <t>[{'position_id': 3, 'position': 'Right Center Back', 'from': '00:00', 'to': None, 'from_period': 1, 'to_period': None, 'start_reason': 'Starting XI', 'end_reason': 'Final Whistle'}]</t>
  </si>
  <si>
    <t>Abdullahi Shehu</t>
  </si>
  <si>
    <t>Ahmed Musa</t>
  </si>
  <si>
    <t>[{'position_id': 22, 'position': 'Right Center Forward', 'from': '00:00', 'to': '89:47', 'from_period': 1, 'to_period': 2, 'start_reason': 'Starting XI', 'end_reason': 'Tactical Shift'}, {'position_id': 24, 'position': 'Left Center Forward', 'from': '89:47', 'to': None, 'from_period': 2, 'to_period': None, 'start_reason': 'Tactical Shift', 'end_reason': 'Final Whistle'}]</t>
  </si>
  <si>
    <t>John Michael Nchekwube Obinna</t>
  </si>
  <si>
    <t>John Obi Mikel</t>
  </si>
  <si>
    <t>[{'position_id': 14, 'position': 'Center Midfield', 'from': '00:00', 'to': '89:47', 'from_period': 1, 'to_period': 2, 'start_reason': 'Starting XI', 'end_reason': 'Tactical Shift'}, {'position_id': 10, 'position': 'Center Defensive Midfield', 'from': '89:47', 'to': '94:47', 'from_period': 2, 'to_period': 2, 'start_reason': 'Tactical Shift', 'end_reason': 'Player Off'}, {'position_id': 10, 'position': 'Center Defensive Midfield', 'from': '95:13', 'to': None, 'from_period': 2, 'to_period': None, 'start_reason': 'Player On', 'end_reason': 'Final Whistle'}]</t>
  </si>
  <si>
    <t>Kenneth Josiah Omeruo</t>
  </si>
  <si>
    <t>Kenneth Omeruo</t>
  </si>
  <si>
    <t>[{'position_id': 5, 'position': 'Left Center Back', 'from': '00:00', 'to': '89:47', 'from_period': 1, 'to_period': 2, 'start_reason': 'Starting XI', 'end_reason': 'Tactical Shift'}, {'position_id': 6, 'position': 'Left Back', 'from': '89:47', 'to': None, 'from_period': 2, 'to_period': None, 'start_reason': 'Tactical Shift', 'end_reason': 'Final Whistle'}]</t>
  </si>
  <si>
    <t>Tyronne Ebuehi</t>
  </si>
  <si>
    <t>[{'position_id': 16, 'position': 'Left Midfield', 'from': '45:00', 'to': None, 'from_period': 2, 'to_period': None, 'start_reason': 'Substitution - On (Tactical)', 'end_reason': 'Final Whistle'}]</t>
  </si>
  <si>
    <t>Joel Chukwuma Obi</t>
  </si>
  <si>
    <t>Joel Obi</t>
  </si>
  <si>
    <t>Elderson Uwa Echiejile</t>
  </si>
  <si>
    <t>Ogenyi Eddy Onazi</t>
  </si>
  <si>
    <t>Ogenyi Onazi</t>
  </si>
  <si>
    <t>(Dataset taken from Kaggle - Thanks for that. Click the link to visit!)</t>
  </si>
  <si>
    <t>Please scroll down to see answers!</t>
  </si>
  <si>
    <t>Answer</t>
  </si>
  <si>
    <t xml:space="preserve">To count the number of players that received a card (yellow or red), we need to count the entries that are not empty (empty in our example means: [] ). </t>
  </si>
  <si>
    <t>To do that, we use the COUNTIF function, combined with the &lt;&gt; operator (not equal). We are basically looking for anything which is not equal to [])</t>
  </si>
  <si>
    <t>To learn about COUNTIF and practice it click here!</t>
  </si>
  <si>
    <t>Click here for additional COUNTIF exercise!</t>
  </si>
  <si>
    <t xml:space="preserve">Players that joined as substitutes, have the following text in their "positions" column: </t>
  </si>
  <si>
    <t>start_reason': 'Substitution - On (Tactical)'</t>
  </si>
  <si>
    <t xml:space="preserve">We can basically ask Excel to keep only rows where "Substitution - On" appears as this is a good indicator for that. </t>
  </si>
  <si>
    <t xml:space="preserve">First, we will use the SEARCH function to look for the string "substitution - on" in the "positions" column. </t>
  </si>
  <si>
    <t>Lets see what we get for the SEARCH function:</t>
  </si>
  <si>
    <t xml:space="preserve">We can see that only three cells contain a number - that number represents the character position in which "substitution - on" was found in the text. </t>
  </si>
  <si>
    <t>Where we see a #VALUE! error we know that we didn't find a match.</t>
  </si>
  <si>
    <t>Note we used SEARCH as it is not case sensitive (You can also use FIND if you want to perform a case-sensitive check).</t>
  </si>
  <si>
    <t>Next, we will use the ISNUMBER function to limit the results only to numeric results - meaning that the text was found.</t>
  </si>
  <si>
    <t xml:space="preserve">Now, we see that wherever we had numbers, the function returned TRUE! </t>
  </si>
  <si>
    <t xml:space="preserve">Finally, we use the FILTER function to filter the data in column C (The names), based on the criteria in column H (look for rows where "substitution - on" was found in the text). </t>
  </si>
  <si>
    <t xml:space="preserve">You may have noticed that we wrote each function only once, instead of repeating it for all the rows. </t>
  </si>
  <si>
    <t xml:space="preserve">This is achieved by Excel's ability to "SPILL" cells. This is a new ability that can make your formula-writing experience much more efficient. </t>
  </si>
  <si>
    <t xml:space="preserve">Read more about SPILLED ranges and Dynamic Array Formulas here. </t>
  </si>
  <si>
    <t>To read more about the SEARCH function and practice it click here!</t>
  </si>
  <si>
    <t>To read and practice the FIND function click here!</t>
  </si>
  <si>
    <t>To read more about ISNUMBER (and other IS functions) click here!</t>
  </si>
  <si>
    <t>to read more abou the FILTER function (and practice, of course...) click here!</t>
  </si>
  <si>
    <t>Easy, right? :-)</t>
  </si>
  <si>
    <t>OK, Let's break this down to understand what we tried to achieve here!</t>
  </si>
  <si>
    <t>First, we need to understand what strategy we are going to use in order to find the players who played in more than one position.</t>
  </si>
  <si>
    <t>Let's look at Onyinye Wilfred Ndidi's data:</t>
  </si>
  <si>
    <r>
      <rPr>
        <sz val="11"/>
        <color rgb="FF000000"/>
        <rFont val="Calibri"/>
        <family val="2"/>
      </rPr>
      <t>[{'</t>
    </r>
    <r>
      <rPr>
        <b/>
        <sz val="11"/>
        <color rgb="FF000000"/>
        <rFont val="Calibri"/>
        <family val="2"/>
      </rPr>
      <t>position_id</t>
    </r>
    <r>
      <rPr>
        <sz val="11"/>
        <color rgb="FF000000"/>
        <rFont val="Calibri"/>
        <family val="2"/>
      </rPr>
      <t>': 13, 'position': '</t>
    </r>
    <r>
      <rPr>
        <b/>
        <sz val="11"/>
        <color rgb="FF000000"/>
        <rFont val="Calibri"/>
        <family val="2"/>
      </rPr>
      <t>Right Center Midfield</t>
    </r>
    <r>
      <rPr>
        <sz val="11"/>
        <color rgb="FF000000"/>
        <rFont val="Calibri"/>
        <family val="2"/>
      </rPr>
      <t>', 'from': '00:00', 'to': '89:47', 'from_period': 1, 'to_period': 2, 'start_reason': 'Starting XI', 'end_reason': 'Tactical Shift'}, {'</t>
    </r>
    <r>
      <rPr>
        <b/>
        <sz val="11"/>
        <color rgb="FF000000"/>
        <rFont val="Calibri"/>
        <family val="2"/>
      </rPr>
      <t>position_id</t>
    </r>
    <r>
      <rPr>
        <sz val="11"/>
        <color rgb="FF000000"/>
        <rFont val="Calibri"/>
        <family val="2"/>
      </rPr>
      <t>': 14, 'position': '</t>
    </r>
    <r>
      <rPr>
        <b/>
        <sz val="11"/>
        <color rgb="FF000000"/>
        <rFont val="Calibri"/>
        <family val="2"/>
      </rPr>
      <t>Center Midfield</t>
    </r>
    <r>
      <rPr>
        <sz val="11"/>
        <color rgb="FF000000"/>
        <rFont val="Calibri"/>
        <family val="2"/>
      </rPr>
      <t>', 'from': '89:47', 'to': None, 'from_period': 2, 'to_period': None, 'start_reason': 'Tactical Shift', 'end_reason': 'Final Whistle'}]</t>
    </r>
  </si>
  <si>
    <t>We can understand that the player played in the beginning as a Right Center Midfield, but then he switched to Center Midfield in 89:47.</t>
  </si>
  <si>
    <t>We can understand that two positions were played and we can see that the text "position_id" appears twice.</t>
  </si>
  <si>
    <t xml:space="preserve">We will look for players that had more than one "position_id" as an indicator for playing more than one position during the game. </t>
  </si>
  <si>
    <t>Now, how do we count the number of occurences of "position_id" for each player's data?</t>
  </si>
  <si>
    <t>We can do the following trick:</t>
  </si>
  <si>
    <t xml:space="preserve">Basically, we check for the length of each text as a whole. </t>
  </si>
  <si>
    <t xml:space="preserve">From the length we received, we substract the length of everything except the found occurence(s). </t>
  </si>
  <si>
    <t xml:space="preserve">Finally, we divide the length we found which is the total length of all the occurences of the word, by the length of a single occurence. </t>
  </si>
  <si>
    <t>Let's do it step by step:</t>
  </si>
  <si>
    <t>#1 - Check length of the entire text:</t>
  </si>
  <si>
    <t xml:space="preserve">The LEN function is used to check a length of a text. </t>
  </si>
  <si>
    <t>Click here to learn and practice LEN function!</t>
  </si>
  <si>
    <t>#2 - Check length of everything except the words we are looking for (position_id)</t>
  </si>
  <si>
    <t xml:space="preserve">The SUBSTITUTE function is used here to replace each occurence of "position_id" with an empty text. </t>
  </si>
  <si>
    <t xml:space="preserve">The result we get is the length of everything minus the length of word(s) we were looking for. </t>
  </si>
  <si>
    <t>Click here to learn and practice SUBSTITUTE function!</t>
  </si>
  <si>
    <t xml:space="preserve">Finally, we subtract the lengths to find only the length of the words we were looking for. </t>
  </si>
  <si>
    <t xml:space="preserve">To translate the length into number of occurences, we will divide this length by the length of a single word. </t>
  </si>
  <si>
    <t>And finally, we use the FILTER function, we mentioned above, to show only occurences with more than 1 position_id!</t>
  </si>
  <si>
    <t>In this question, we wish to find players that were included in the Starting 11 ("Starting XI"), and that they played until "Final_Whistle".</t>
  </si>
  <si>
    <r>
      <rPr>
        <sz val="11"/>
        <color rgb="FF000000"/>
        <rFont val="Calibri"/>
        <family val="2"/>
      </rPr>
      <t xml:space="preserve">As there are two criteria here, we need to </t>
    </r>
    <r>
      <rPr>
        <b/>
        <sz val="11"/>
        <color rgb="FF000000"/>
        <rFont val="Calibri"/>
        <family val="2"/>
      </rPr>
      <t xml:space="preserve">multiply </t>
    </r>
    <r>
      <rPr>
        <sz val="11"/>
        <color rgb="FF000000"/>
        <rFont val="Calibri"/>
        <family val="2"/>
      </rPr>
      <t xml:space="preserve">these two criteria. The filter function will show only rows where these two criteria are met. </t>
    </r>
  </si>
  <si>
    <t>Let see which players were in the starting 11:</t>
  </si>
  <si>
    <t>Now, which players played until the final whistle?</t>
  </si>
  <si>
    <t xml:space="preserve">In green, we can see the only 8 players that were both in the Starting 11 and played until the Final Whistle. </t>
  </si>
  <si>
    <t>This make sense to us, as we know that we had 3 substitutions made during the game (11-3=8)</t>
  </si>
  <si>
    <t>Click here for more information on the usage of FILTER function with multiple criteria</t>
  </si>
  <si>
    <t>Number 2</t>
  </si>
  <si>
    <t>Number 3</t>
  </si>
  <si>
    <t>Number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</si>
</sst>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8"/>
      <color theme="3"/>
      <name val="Calibri Light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57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u/>
      <sz val="11"/>
      <color theme="10"/>
      <name val="Calibri"/>
      <family val="2"/>
      <charset val="177"/>
      <scheme val="minor"/>
    </font>
    <font>
      <sz val="11"/>
      <color rgb="FF000000"/>
      <name val="Calibri"/>
      <family val="2"/>
    </font>
    <font>
      <sz val="11"/>
      <color rgb="FF444444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0" fontId="16" fillId="0" borderId="0" xfId="0" applyFont="1"/>
    <xf numFmtId="0" fontId="18" fillId="0" borderId="0" xfId="42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9" fillId="0" borderId="0" xfId="0" quotePrefix="1" applyFont="1"/>
    <xf numFmtId="0" fontId="20" fillId="0" borderId="0" xfId="0" applyFont="1"/>
    <xf numFmtId="0" fontId="0" fillId="33" borderId="0" xfId="0" applyFill="1"/>
    <xf numFmtId="0" fontId="20" fillId="33" borderId="0" xfId="0" applyFont="1" applyFill="1"/>
    <xf numFmtId="0" fontId="20" fillId="0" borderId="0" xfId="0" quotePrefix="1" applyFont="1"/>
    <xf numFmtId="0" fontId="0" fillId="34" borderId="0" xfId="0" applyFill="1"/>
    <xf numFmtId="0" fontId="16" fillId="35" borderId="0" xfId="0" applyFont="1" applyFill="1"/>
    <xf numFmtId="0" fontId="0" fillId="35" borderId="0" xfId="0" applyFill="1"/>
    <xf numFmtId="0" fontId="21" fillId="0" borderId="0" xfId="0" applyFont="1"/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36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xcel-practice-online.com/" TargetMode="External"/><Relationship Id="rId1" Type="http://schemas.openxmlformats.org/officeDocument/2006/relationships/hyperlink" Target="https://www.kaggle.com/datasets/blessontomjoseph/fifa-world-cup-2018-complete-teamwise-dat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xcel-practice-online.com/functions/len/" TargetMode="External"/><Relationship Id="rId3" Type="http://schemas.openxmlformats.org/officeDocument/2006/relationships/hyperlink" Target="https://support.microsoft.com/en-us/office/is-functions-0f2d7971-6019-40a0-a171-f2d869135665" TargetMode="External"/><Relationship Id="rId7" Type="http://schemas.openxmlformats.org/officeDocument/2006/relationships/hyperlink" Target="https://exceljet.net/dynamic-array-formulas-in-excel" TargetMode="External"/><Relationship Id="rId2" Type="http://schemas.openxmlformats.org/officeDocument/2006/relationships/hyperlink" Target="https://excel-practice-online.com/exercises/countif-function-exercise-number-1/" TargetMode="External"/><Relationship Id="rId1" Type="http://schemas.openxmlformats.org/officeDocument/2006/relationships/hyperlink" Target="https://excel-practice-online.com/functions/countif-function/" TargetMode="External"/><Relationship Id="rId6" Type="http://schemas.openxmlformats.org/officeDocument/2006/relationships/hyperlink" Target="https://excel-practice-online.com/functions/filter-function/" TargetMode="External"/><Relationship Id="rId5" Type="http://schemas.openxmlformats.org/officeDocument/2006/relationships/hyperlink" Target="https://excel-practice-online.com/functions/search/" TargetMode="External"/><Relationship Id="rId10" Type="http://schemas.openxmlformats.org/officeDocument/2006/relationships/hyperlink" Target="https://exceljet.net/formula/filter-with-multiple-or-criteria" TargetMode="External"/><Relationship Id="rId4" Type="http://schemas.openxmlformats.org/officeDocument/2006/relationships/hyperlink" Target="https://excel-practice-online.com/functions/find/" TargetMode="External"/><Relationship Id="rId9" Type="http://schemas.openxmlformats.org/officeDocument/2006/relationships/hyperlink" Target="https://excel-practice-online.com/functions/substitu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N13" sqref="N13"/>
    </sheetView>
  </sheetViews>
  <sheetFormatPr defaultRowHeight="14.5" x14ac:dyDescent="0.35"/>
  <cols>
    <col min="1" max="1" width="3" customWidth="1"/>
    <col min="7" max="7" width="22.36328125" customWidth="1"/>
    <col min="8" max="8" width="66.453125" style="3" customWidth="1"/>
    <col min="12" max="12" width="25.7265625" bestFit="1" customWidth="1"/>
    <col min="14" max="14" width="20.453125" bestFit="1" customWidth="1"/>
    <col min="30" max="30" width="17" customWidth="1"/>
  </cols>
  <sheetData>
    <row r="1" spans="1:14" x14ac:dyDescent="0.35">
      <c r="B1" s="2" t="s">
        <v>0</v>
      </c>
    </row>
    <row r="2" spans="1:14" x14ac:dyDescent="0.35">
      <c r="B2" s="1" t="s">
        <v>1</v>
      </c>
    </row>
    <row r="4" spans="1:14" x14ac:dyDescent="0.35">
      <c r="B4" s="1" t="s">
        <v>2</v>
      </c>
      <c r="L4" s="16" t="s">
        <v>119</v>
      </c>
      <c r="N4" s="16" t="s">
        <v>121</v>
      </c>
    </row>
    <row r="5" spans="1:14" x14ac:dyDescent="0.35">
      <c r="A5" s="1">
        <v>1</v>
      </c>
      <c r="B5" t="s">
        <v>3</v>
      </c>
      <c r="I5" s="12">
        <f>COUNTIF(G12:G31, "&lt;&gt;[]")</f>
        <v>1</v>
      </c>
      <c r="L5" s="12" t="str" cm="1">
        <f t="array" ref="L5:L7">_xlfn._xlws.FILTER(C12:C31, ISNUMBER(SEARCH("Substitution - On", H12:H31)))</f>
        <v>Alex Iwobi</v>
      </c>
      <c r="N5" s="12" t="str" cm="1">
        <f t="array" ref="N5:N9">_xlfn._xlws.FILTER(C4:C23,(ISNUMBER(SEARCH("Starting XI",H4:H23))*(ISNUMBER(SEARCH("Final Whistle",H4:H23)))))</f>
        <v>Onyinye Wilfred Ndidi</v>
      </c>
    </row>
    <row r="6" spans="1:14" x14ac:dyDescent="0.35">
      <c r="A6" s="1">
        <v>2</v>
      </c>
      <c r="B6" t="s">
        <v>4</v>
      </c>
      <c r="I6" s="12"/>
      <c r="L6" s="12" t="str">
        <v>Odion Jude Ighalo</v>
      </c>
      <c r="N6" s="12" t="str">
        <v>Victor Moses</v>
      </c>
    </row>
    <row r="7" spans="1:14" x14ac:dyDescent="0.35">
      <c r="A7" s="1">
        <v>3</v>
      </c>
      <c r="B7" t="s">
        <v>5</v>
      </c>
      <c r="I7" s="12"/>
      <c r="L7" s="12" t="str">
        <v>Tyronne Ebuehi</v>
      </c>
      <c r="N7" s="12" t="str">
        <v>Francis Odinaka Uzoho</v>
      </c>
    </row>
    <row r="8" spans="1:14" x14ac:dyDescent="0.35">
      <c r="A8" s="1">
        <v>4</v>
      </c>
      <c r="B8" t="s">
        <v>6</v>
      </c>
      <c r="I8" s="12"/>
      <c r="N8" s="12" t="str">
        <v>William Troost-Ekong</v>
      </c>
    </row>
    <row r="9" spans="1:14" x14ac:dyDescent="0.35">
      <c r="A9" s="1"/>
      <c r="N9" s="12" t="str">
        <v>Leon Aderemi Balogun</v>
      </c>
    </row>
    <row r="10" spans="1:14" x14ac:dyDescent="0.35">
      <c r="L10" s="16" t="s">
        <v>120</v>
      </c>
    </row>
    <row r="11" spans="1:14" x14ac:dyDescent="0.35">
      <c r="B11" s="1" t="s">
        <v>7</v>
      </c>
      <c r="C11" s="1" t="s">
        <v>8</v>
      </c>
      <c r="D11" s="1" t="s">
        <v>9</v>
      </c>
      <c r="E11" s="1" t="s">
        <v>10</v>
      </c>
      <c r="F11" s="1" t="s">
        <v>11</v>
      </c>
      <c r="G11" s="1" t="s">
        <v>12</v>
      </c>
      <c r="H11" s="4" t="s">
        <v>13</v>
      </c>
      <c r="L11" s="12" t="str" cm="1">
        <f t="array" ref="L11:L16">_xlfn._xlws.FILTER(C12:C31, (LEN(Test!H12:H31) - LEN(SUBSTITUTE(Test!H12:H31, "position_id", ""))) / LEN("position_id")&gt;1)</f>
        <v>Onyinye Wilfred Ndidi</v>
      </c>
    </row>
    <row r="12" spans="1:14" x14ac:dyDescent="0.35">
      <c r="B12">
        <v>3139</v>
      </c>
      <c r="C12" t="s">
        <v>14</v>
      </c>
      <c r="D12" t="s">
        <v>15</v>
      </c>
      <c r="E12">
        <v>20</v>
      </c>
      <c r="F12" t="s">
        <v>16</v>
      </c>
      <c r="G12" t="s">
        <v>17</v>
      </c>
      <c r="H12" s="3" t="s">
        <v>17</v>
      </c>
      <c r="L12" s="12" t="str">
        <v>Alex Iwobi</v>
      </c>
    </row>
    <row r="13" spans="1:14" ht="72.5" x14ac:dyDescent="0.35">
      <c r="B13">
        <v>3338</v>
      </c>
      <c r="C13" t="s">
        <v>18</v>
      </c>
      <c r="D13" t="s">
        <v>19</v>
      </c>
      <c r="E13">
        <v>4</v>
      </c>
      <c r="F13" t="s">
        <v>16</v>
      </c>
      <c r="G13" t="s">
        <v>17</v>
      </c>
      <c r="H13" s="3" t="s">
        <v>20</v>
      </c>
      <c r="L13" s="12" t="str">
        <v>Odion Jude Ighalo</v>
      </c>
    </row>
    <row r="14" spans="1:14" ht="72.5" x14ac:dyDescent="0.35">
      <c r="B14">
        <v>3647</v>
      </c>
      <c r="C14" t="s">
        <v>21</v>
      </c>
      <c r="E14">
        <v>18</v>
      </c>
      <c r="F14" t="s">
        <v>16</v>
      </c>
      <c r="G14" t="s">
        <v>17</v>
      </c>
      <c r="H14" s="3" t="s">
        <v>22</v>
      </c>
      <c r="L14" s="12" t="str">
        <v>Ahmed Musa</v>
      </c>
    </row>
    <row r="15" spans="1:14" ht="43.5" x14ac:dyDescent="0.35">
      <c r="B15">
        <v>3708</v>
      </c>
      <c r="C15" t="s">
        <v>23</v>
      </c>
      <c r="D15" t="s">
        <v>24</v>
      </c>
      <c r="E15">
        <v>14</v>
      </c>
      <c r="F15" t="s">
        <v>16</v>
      </c>
      <c r="G15" t="s">
        <v>17</v>
      </c>
      <c r="H15" s="3" t="s">
        <v>25</v>
      </c>
      <c r="L15" s="12" t="str">
        <v>John Michael Nchekwube Obinna</v>
      </c>
    </row>
    <row r="16" spans="1:14" ht="43.5" x14ac:dyDescent="0.35">
      <c r="B16">
        <v>3963</v>
      </c>
      <c r="C16" t="s">
        <v>26</v>
      </c>
      <c r="E16">
        <v>11</v>
      </c>
      <c r="F16" t="s">
        <v>16</v>
      </c>
      <c r="G16" t="s">
        <v>17</v>
      </c>
      <c r="H16" s="3" t="s">
        <v>27</v>
      </c>
      <c r="L16" s="12" t="str">
        <v>Kenneth Josiah Omeruo</v>
      </c>
    </row>
    <row r="17" spans="2:8" ht="43.5" x14ac:dyDescent="0.35">
      <c r="B17">
        <v>5454</v>
      </c>
      <c r="C17" t="s">
        <v>28</v>
      </c>
      <c r="D17" t="s">
        <v>29</v>
      </c>
      <c r="E17">
        <v>23</v>
      </c>
      <c r="F17" t="s">
        <v>16</v>
      </c>
      <c r="G17" t="s">
        <v>17</v>
      </c>
      <c r="H17" s="3" t="s">
        <v>30</v>
      </c>
    </row>
    <row r="18" spans="2:8" ht="43.5" x14ac:dyDescent="0.35">
      <c r="B18">
        <v>5455</v>
      </c>
      <c r="C18" t="s">
        <v>31</v>
      </c>
      <c r="E18">
        <v>5</v>
      </c>
      <c r="F18" t="s">
        <v>16</v>
      </c>
      <c r="G18" t="s">
        <v>17</v>
      </c>
      <c r="H18" s="3" t="s">
        <v>32</v>
      </c>
    </row>
    <row r="19" spans="2:8" ht="72.5" x14ac:dyDescent="0.35">
      <c r="B19">
        <v>5458</v>
      </c>
      <c r="C19" t="s">
        <v>33</v>
      </c>
      <c r="D19" t="s">
        <v>34</v>
      </c>
      <c r="E19">
        <v>9</v>
      </c>
      <c r="F19" t="s">
        <v>16</v>
      </c>
      <c r="G19" t="s">
        <v>17</v>
      </c>
      <c r="H19" s="3" t="s">
        <v>35</v>
      </c>
    </row>
    <row r="20" spans="2:8" ht="43.5" x14ac:dyDescent="0.35">
      <c r="B20">
        <v>5462</v>
      </c>
      <c r="C20" t="s">
        <v>36</v>
      </c>
      <c r="D20" t="s">
        <v>37</v>
      </c>
      <c r="E20">
        <v>2</v>
      </c>
      <c r="F20" t="s">
        <v>16</v>
      </c>
      <c r="G20" t="s">
        <v>38</v>
      </c>
      <c r="H20" s="3" t="s">
        <v>39</v>
      </c>
    </row>
    <row r="21" spans="2:8" x14ac:dyDescent="0.35">
      <c r="B21">
        <v>5464</v>
      </c>
      <c r="C21" t="s">
        <v>40</v>
      </c>
      <c r="D21" t="s">
        <v>41</v>
      </c>
      <c r="E21">
        <v>13</v>
      </c>
      <c r="F21" t="s">
        <v>16</v>
      </c>
      <c r="G21" t="s">
        <v>17</v>
      </c>
      <c r="H21" s="3" t="s">
        <v>17</v>
      </c>
    </row>
    <row r="22" spans="2:8" ht="43.5" x14ac:dyDescent="0.35">
      <c r="B22">
        <v>5466</v>
      </c>
      <c r="C22" t="s">
        <v>42</v>
      </c>
      <c r="D22" t="s">
        <v>43</v>
      </c>
      <c r="E22">
        <v>8</v>
      </c>
      <c r="F22" t="s">
        <v>16</v>
      </c>
      <c r="G22" t="s">
        <v>17</v>
      </c>
      <c r="H22" s="3" t="s">
        <v>44</v>
      </c>
    </row>
    <row r="23" spans="2:8" ht="43.5" x14ac:dyDescent="0.35">
      <c r="B23">
        <v>5467</v>
      </c>
      <c r="C23" t="s">
        <v>45</v>
      </c>
      <c r="E23">
        <v>6</v>
      </c>
      <c r="F23" t="s">
        <v>16</v>
      </c>
      <c r="G23" t="s">
        <v>17</v>
      </c>
      <c r="H23" s="3" t="s">
        <v>46</v>
      </c>
    </row>
    <row r="24" spans="2:8" x14ac:dyDescent="0.35">
      <c r="B24">
        <v>5471</v>
      </c>
      <c r="C24" t="s">
        <v>47</v>
      </c>
      <c r="E24">
        <v>12</v>
      </c>
      <c r="F24" t="s">
        <v>16</v>
      </c>
      <c r="G24" t="s">
        <v>17</v>
      </c>
      <c r="H24" s="3" t="s">
        <v>17</v>
      </c>
    </row>
    <row r="25" spans="2:8" ht="72.5" x14ac:dyDescent="0.35">
      <c r="B25">
        <v>5473</v>
      </c>
      <c r="C25" t="s">
        <v>48</v>
      </c>
      <c r="E25">
        <v>7</v>
      </c>
      <c r="F25" t="s">
        <v>16</v>
      </c>
      <c r="G25" t="s">
        <v>17</v>
      </c>
      <c r="H25" s="3" t="s">
        <v>49</v>
      </c>
    </row>
    <row r="26" spans="2:8" ht="101.5" x14ac:dyDescent="0.35">
      <c r="B26">
        <v>5475</v>
      </c>
      <c r="C26" t="s">
        <v>50</v>
      </c>
      <c r="D26" t="s">
        <v>51</v>
      </c>
      <c r="E26">
        <v>10</v>
      </c>
      <c r="F26" t="s">
        <v>16</v>
      </c>
      <c r="G26" t="s">
        <v>17</v>
      </c>
      <c r="H26" s="3" t="s">
        <v>52</v>
      </c>
    </row>
    <row r="27" spans="2:8" ht="72.5" x14ac:dyDescent="0.35">
      <c r="B27">
        <v>5830</v>
      </c>
      <c r="C27" t="s">
        <v>53</v>
      </c>
      <c r="D27" t="s">
        <v>54</v>
      </c>
      <c r="E27">
        <v>22</v>
      </c>
      <c r="F27" t="s">
        <v>16</v>
      </c>
      <c r="G27" t="s">
        <v>17</v>
      </c>
      <c r="H27" s="3" t="s">
        <v>55</v>
      </c>
    </row>
    <row r="28" spans="2:8" ht="43.5" x14ac:dyDescent="0.35">
      <c r="B28">
        <v>5832</v>
      </c>
      <c r="C28" t="s">
        <v>56</v>
      </c>
      <c r="E28">
        <v>21</v>
      </c>
      <c r="F28" t="s">
        <v>16</v>
      </c>
      <c r="G28" t="s">
        <v>17</v>
      </c>
      <c r="H28" s="3" t="s">
        <v>57</v>
      </c>
    </row>
    <row r="29" spans="2:8" x14ac:dyDescent="0.35">
      <c r="B29">
        <v>7470</v>
      </c>
      <c r="C29" t="s">
        <v>58</v>
      </c>
      <c r="D29" t="s">
        <v>59</v>
      </c>
      <c r="E29">
        <v>15</v>
      </c>
      <c r="F29" t="s">
        <v>16</v>
      </c>
      <c r="G29" t="s">
        <v>17</v>
      </c>
      <c r="H29" s="3" t="s">
        <v>17</v>
      </c>
    </row>
    <row r="30" spans="2:8" x14ac:dyDescent="0.35">
      <c r="B30">
        <v>27558</v>
      </c>
      <c r="C30" t="s">
        <v>60</v>
      </c>
      <c r="E30">
        <v>3</v>
      </c>
      <c r="F30" t="s">
        <v>16</v>
      </c>
      <c r="G30" t="s">
        <v>17</v>
      </c>
      <c r="H30" s="3" t="s">
        <v>17</v>
      </c>
    </row>
    <row r="31" spans="2:8" x14ac:dyDescent="0.35">
      <c r="B31">
        <v>33311</v>
      </c>
      <c r="C31" t="s">
        <v>61</v>
      </c>
      <c r="D31" t="s">
        <v>62</v>
      </c>
      <c r="E31">
        <v>17</v>
      </c>
      <c r="F31" t="s">
        <v>16</v>
      </c>
      <c r="G31" t="s">
        <v>17</v>
      </c>
      <c r="H31" s="3" t="s">
        <v>17</v>
      </c>
    </row>
    <row r="33" spans="2:2" x14ac:dyDescent="0.35">
      <c r="B33" s="2" t="s">
        <v>63</v>
      </c>
    </row>
  </sheetData>
  <hyperlinks>
    <hyperlink ref="B33" r:id="rId1" display="(Dataset taken from Kaggle - Visit here!)" xr:uid="{50177541-4100-4735-8D2F-017485E787F6}"/>
    <hyperlink ref="B1" r:id="rId2" xr:uid="{44AB8753-2DF4-4839-8F41-E54166D1D7E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578A4-EFF8-475A-A5C0-AEE9D7BD6B30}">
  <dimension ref="A1:H281"/>
  <sheetViews>
    <sheetView topLeftCell="A229" workbookViewId="0">
      <selection activeCell="B239" sqref="B239"/>
    </sheetView>
  </sheetViews>
  <sheetFormatPr defaultRowHeight="14.5" x14ac:dyDescent="0.35"/>
  <cols>
    <col min="1" max="1" width="3" customWidth="1"/>
    <col min="8" max="8" width="64" customWidth="1"/>
  </cols>
  <sheetData>
    <row r="1" spans="2:8" x14ac:dyDescent="0.35">
      <c r="B1" s="11" t="s">
        <v>64</v>
      </c>
      <c r="C1" s="12"/>
      <c r="D1" s="12"/>
      <c r="E1" s="12"/>
      <c r="F1" s="12"/>
      <c r="G1" s="12"/>
      <c r="H1" s="12"/>
    </row>
    <row r="3" spans="2:8" x14ac:dyDescent="0.35"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4" t="s">
        <v>13</v>
      </c>
    </row>
    <row r="4" spans="2:8" x14ac:dyDescent="0.35">
      <c r="B4">
        <v>3139</v>
      </c>
      <c r="C4" t="s">
        <v>14</v>
      </c>
      <c r="D4" t="s">
        <v>15</v>
      </c>
      <c r="E4">
        <v>20</v>
      </c>
      <c r="F4" t="s">
        <v>16</v>
      </c>
      <c r="G4" t="s">
        <v>17</v>
      </c>
      <c r="H4" s="3" t="s">
        <v>17</v>
      </c>
    </row>
    <row r="5" spans="2:8" ht="72.5" x14ac:dyDescent="0.35">
      <c r="B5">
        <v>3338</v>
      </c>
      <c r="C5" t="s">
        <v>18</v>
      </c>
      <c r="D5" t="s">
        <v>19</v>
      </c>
      <c r="E5">
        <v>4</v>
      </c>
      <c r="F5" t="s">
        <v>16</v>
      </c>
      <c r="G5" t="s">
        <v>17</v>
      </c>
      <c r="H5" s="3" t="s">
        <v>20</v>
      </c>
    </row>
    <row r="6" spans="2:8" ht="87" x14ac:dyDescent="0.35">
      <c r="B6">
        <v>3647</v>
      </c>
      <c r="C6" t="s">
        <v>21</v>
      </c>
      <c r="E6">
        <v>18</v>
      </c>
      <c r="F6" t="s">
        <v>16</v>
      </c>
      <c r="G6" t="s">
        <v>17</v>
      </c>
      <c r="H6" s="3" t="s">
        <v>22</v>
      </c>
    </row>
    <row r="7" spans="2:8" ht="43.5" x14ac:dyDescent="0.35">
      <c r="B7">
        <v>3708</v>
      </c>
      <c r="C7" t="s">
        <v>23</v>
      </c>
      <c r="D7" t="s">
        <v>24</v>
      </c>
      <c r="E7">
        <v>14</v>
      </c>
      <c r="F7" t="s">
        <v>16</v>
      </c>
      <c r="G7" t="s">
        <v>17</v>
      </c>
      <c r="H7" s="3" t="s">
        <v>25</v>
      </c>
    </row>
    <row r="8" spans="2:8" ht="43.5" x14ac:dyDescent="0.35">
      <c r="B8">
        <v>3963</v>
      </c>
      <c r="C8" t="s">
        <v>26</v>
      </c>
      <c r="E8">
        <v>11</v>
      </c>
      <c r="F8" t="s">
        <v>16</v>
      </c>
      <c r="G8" t="s">
        <v>17</v>
      </c>
      <c r="H8" s="3" t="s">
        <v>27</v>
      </c>
    </row>
    <row r="9" spans="2:8" ht="43.5" x14ac:dyDescent="0.35">
      <c r="B9">
        <v>5454</v>
      </c>
      <c r="C9" t="s">
        <v>28</v>
      </c>
      <c r="D9" t="s">
        <v>29</v>
      </c>
      <c r="E9">
        <v>23</v>
      </c>
      <c r="F9" t="s">
        <v>16</v>
      </c>
      <c r="G9" t="s">
        <v>17</v>
      </c>
      <c r="H9" s="3" t="s">
        <v>30</v>
      </c>
    </row>
    <row r="10" spans="2:8" ht="43.5" x14ac:dyDescent="0.35">
      <c r="B10">
        <v>5455</v>
      </c>
      <c r="C10" t="s">
        <v>31</v>
      </c>
      <c r="E10">
        <v>5</v>
      </c>
      <c r="F10" t="s">
        <v>16</v>
      </c>
      <c r="G10" t="s">
        <v>17</v>
      </c>
      <c r="H10" s="3" t="s">
        <v>32</v>
      </c>
    </row>
    <row r="11" spans="2:8" ht="78" customHeight="1" x14ac:dyDescent="0.35">
      <c r="B11">
        <v>5458</v>
      </c>
      <c r="C11" t="s">
        <v>33</v>
      </c>
      <c r="D11" t="s">
        <v>34</v>
      </c>
      <c r="E11">
        <v>9</v>
      </c>
      <c r="F11" t="s">
        <v>16</v>
      </c>
      <c r="G11" t="s">
        <v>17</v>
      </c>
      <c r="H11" s="3" t="s">
        <v>35</v>
      </c>
    </row>
    <row r="12" spans="2:8" ht="43.5" x14ac:dyDescent="0.35">
      <c r="B12">
        <v>5462</v>
      </c>
      <c r="C12" t="s">
        <v>36</v>
      </c>
      <c r="D12" t="s">
        <v>37</v>
      </c>
      <c r="E12">
        <v>2</v>
      </c>
      <c r="F12" t="s">
        <v>16</v>
      </c>
      <c r="G12" t="s">
        <v>38</v>
      </c>
      <c r="H12" s="3" t="s">
        <v>39</v>
      </c>
    </row>
    <row r="13" spans="2:8" x14ac:dyDescent="0.35">
      <c r="B13">
        <v>5464</v>
      </c>
      <c r="C13" t="s">
        <v>40</v>
      </c>
      <c r="D13" t="s">
        <v>41</v>
      </c>
      <c r="E13">
        <v>13</v>
      </c>
      <c r="F13" t="s">
        <v>16</v>
      </c>
      <c r="G13" t="s">
        <v>17</v>
      </c>
      <c r="H13" s="3" t="s">
        <v>17</v>
      </c>
    </row>
    <row r="14" spans="2:8" ht="43.5" x14ac:dyDescent="0.35">
      <c r="B14">
        <v>5466</v>
      </c>
      <c r="C14" t="s">
        <v>42</v>
      </c>
      <c r="D14" t="s">
        <v>43</v>
      </c>
      <c r="E14">
        <v>8</v>
      </c>
      <c r="F14" t="s">
        <v>16</v>
      </c>
      <c r="G14" t="s">
        <v>17</v>
      </c>
      <c r="H14" s="3" t="s">
        <v>44</v>
      </c>
    </row>
    <row r="15" spans="2:8" ht="43.5" x14ac:dyDescent="0.35">
      <c r="B15">
        <v>5467</v>
      </c>
      <c r="C15" t="s">
        <v>45</v>
      </c>
      <c r="E15">
        <v>6</v>
      </c>
      <c r="F15" t="s">
        <v>16</v>
      </c>
      <c r="G15" t="s">
        <v>17</v>
      </c>
      <c r="H15" s="3" t="s">
        <v>46</v>
      </c>
    </row>
    <row r="16" spans="2:8" x14ac:dyDescent="0.35">
      <c r="B16">
        <v>5471</v>
      </c>
      <c r="C16" t="s">
        <v>47</v>
      </c>
      <c r="E16">
        <v>12</v>
      </c>
      <c r="F16" t="s">
        <v>16</v>
      </c>
      <c r="G16" t="s">
        <v>17</v>
      </c>
      <c r="H16" s="3" t="s">
        <v>17</v>
      </c>
    </row>
    <row r="17" spans="1:8" ht="72.5" x14ac:dyDescent="0.35">
      <c r="B17">
        <v>5473</v>
      </c>
      <c r="C17" t="s">
        <v>48</v>
      </c>
      <c r="E17">
        <v>7</v>
      </c>
      <c r="F17" t="s">
        <v>16</v>
      </c>
      <c r="G17" t="s">
        <v>17</v>
      </c>
      <c r="H17" s="3" t="s">
        <v>49</v>
      </c>
    </row>
    <row r="18" spans="1:8" ht="127.5" customHeight="1" x14ac:dyDescent="0.35">
      <c r="B18">
        <v>5475</v>
      </c>
      <c r="C18" t="s">
        <v>50</v>
      </c>
      <c r="D18" t="s">
        <v>51</v>
      </c>
      <c r="E18">
        <v>10</v>
      </c>
      <c r="F18" t="s">
        <v>16</v>
      </c>
      <c r="G18" t="s">
        <v>17</v>
      </c>
      <c r="H18" s="3" t="s">
        <v>52</v>
      </c>
    </row>
    <row r="19" spans="1:8" ht="72.5" x14ac:dyDescent="0.35">
      <c r="B19">
        <v>5830</v>
      </c>
      <c r="C19" t="s">
        <v>53</v>
      </c>
      <c r="D19" t="s">
        <v>54</v>
      </c>
      <c r="E19">
        <v>22</v>
      </c>
      <c r="F19" t="s">
        <v>16</v>
      </c>
      <c r="G19" t="s">
        <v>17</v>
      </c>
      <c r="H19" s="3" t="s">
        <v>55</v>
      </c>
    </row>
    <row r="20" spans="1:8" ht="43.5" x14ac:dyDescent="0.35">
      <c r="B20">
        <v>5832</v>
      </c>
      <c r="C20" t="s">
        <v>56</v>
      </c>
      <c r="E20">
        <v>21</v>
      </c>
      <c r="F20" t="s">
        <v>16</v>
      </c>
      <c r="G20" t="s">
        <v>17</v>
      </c>
      <c r="H20" s="3" t="s">
        <v>57</v>
      </c>
    </row>
    <row r="21" spans="1:8" x14ac:dyDescent="0.35">
      <c r="B21">
        <v>7470</v>
      </c>
      <c r="C21" t="s">
        <v>58</v>
      </c>
      <c r="D21" t="s">
        <v>59</v>
      </c>
      <c r="E21">
        <v>15</v>
      </c>
      <c r="F21" t="s">
        <v>16</v>
      </c>
      <c r="G21" t="s">
        <v>17</v>
      </c>
      <c r="H21" s="3" t="s">
        <v>17</v>
      </c>
    </row>
    <row r="22" spans="1:8" x14ac:dyDescent="0.35">
      <c r="B22">
        <v>27558</v>
      </c>
      <c r="C22" t="s">
        <v>60</v>
      </c>
      <c r="E22">
        <v>3</v>
      </c>
      <c r="F22" t="s">
        <v>16</v>
      </c>
      <c r="G22" t="s">
        <v>17</v>
      </c>
      <c r="H22" s="3" t="s">
        <v>17</v>
      </c>
    </row>
    <row r="23" spans="1:8" x14ac:dyDescent="0.35">
      <c r="B23">
        <v>33311</v>
      </c>
      <c r="C23" t="s">
        <v>61</v>
      </c>
      <c r="D23" t="s">
        <v>62</v>
      </c>
      <c r="E23">
        <v>17</v>
      </c>
      <c r="F23" t="s">
        <v>16</v>
      </c>
      <c r="G23" t="s">
        <v>17</v>
      </c>
      <c r="H23" s="3" t="s">
        <v>17</v>
      </c>
    </row>
    <row r="25" spans="1:8" x14ac:dyDescent="0.35">
      <c r="B25" s="1" t="s">
        <v>2</v>
      </c>
      <c r="H25" s="3"/>
    </row>
    <row r="26" spans="1:8" x14ac:dyDescent="0.35">
      <c r="A26" s="1">
        <v>1</v>
      </c>
      <c r="B26" t="s">
        <v>3</v>
      </c>
      <c r="H26" s="3"/>
    </row>
    <row r="27" spans="1:8" x14ac:dyDescent="0.35">
      <c r="A27" s="1"/>
      <c r="H27" s="3"/>
    </row>
    <row r="28" spans="1:8" x14ac:dyDescent="0.35">
      <c r="A28" s="1"/>
      <c r="B28" s="1" t="s">
        <v>65</v>
      </c>
      <c r="C28">
        <f>COUNTIF(G4:G23,"&lt;&gt;[]")</f>
        <v>1</v>
      </c>
      <c r="D28" s="1" t="str">
        <f ca="1">_xlfn.FORMULATEXT(C28)</f>
        <v>=COUNTIF(G4:G23,"&lt;&gt;[]")</v>
      </c>
      <c r="H28" s="3"/>
    </row>
    <row r="29" spans="1:8" x14ac:dyDescent="0.35">
      <c r="A29" s="1"/>
      <c r="H29" s="3"/>
    </row>
    <row r="30" spans="1:8" x14ac:dyDescent="0.35">
      <c r="A30" s="1"/>
      <c r="B30" t="s">
        <v>66</v>
      </c>
      <c r="H30" s="3"/>
    </row>
    <row r="31" spans="1:8" x14ac:dyDescent="0.35">
      <c r="A31" s="1"/>
      <c r="B31" t="s">
        <v>67</v>
      </c>
      <c r="H31" s="3"/>
    </row>
    <row r="32" spans="1:8" x14ac:dyDescent="0.35">
      <c r="A32" s="1"/>
      <c r="H32" s="3"/>
    </row>
    <row r="33" spans="1:8" x14ac:dyDescent="0.35">
      <c r="A33" s="1"/>
      <c r="B33" s="2" t="s">
        <v>68</v>
      </c>
      <c r="H33" s="3"/>
    </row>
    <row r="34" spans="1:8" x14ac:dyDescent="0.35">
      <c r="A34" s="1"/>
      <c r="B34" s="2" t="s">
        <v>69</v>
      </c>
      <c r="H34" s="3"/>
    </row>
    <row r="35" spans="1:8" x14ac:dyDescent="0.35">
      <c r="A35" s="1"/>
      <c r="H35" s="3"/>
    </row>
    <row r="36" spans="1:8" x14ac:dyDescent="0.35">
      <c r="A36" s="1">
        <v>2</v>
      </c>
      <c r="B36" t="s">
        <v>4</v>
      </c>
      <c r="H36" s="3"/>
    </row>
    <row r="37" spans="1:8" x14ac:dyDescent="0.35">
      <c r="A37" s="1"/>
      <c r="H37" s="3"/>
    </row>
    <row r="38" spans="1:8" x14ac:dyDescent="0.35">
      <c r="A38" s="1"/>
      <c r="B38" s="1" t="s">
        <v>65</v>
      </c>
      <c r="C38" t="str" cm="1">
        <f t="array" ref="C38:C40">_xlfn._xlws.FILTER(C4:C23,ISNUMBER(SEARCH("substitution - on",H4:H23)))</f>
        <v>Alex Iwobi</v>
      </c>
      <c r="E38" s="1" t="str">
        <f ca="1">_xlfn.FORMULATEXT(C38)</f>
        <v>=FILTER(C4:C23,ISNUMBER(SEARCH("substitution - on",H4:H23)))</v>
      </c>
      <c r="H38" s="3"/>
    </row>
    <row r="39" spans="1:8" x14ac:dyDescent="0.35">
      <c r="A39" s="1"/>
      <c r="B39" s="1"/>
      <c r="C39" t="str">
        <v>Odion Jude Ighalo</v>
      </c>
      <c r="H39" s="3"/>
    </row>
    <row r="40" spans="1:8" x14ac:dyDescent="0.35">
      <c r="A40" s="1"/>
      <c r="B40" s="1"/>
      <c r="C40" t="str">
        <v>Tyronne Ebuehi</v>
      </c>
      <c r="H40" s="3"/>
    </row>
    <row r="41" spans="1:8" x14ac:dyDescent="0.35">
      <c r="A41" s="1"/>
      <c r="B41" s="1"/>
      <c r="H41" s="3"/>
    </row>
    <row r="42" spans="1:8" x14ac:dyDescent="0.35">
      <c r="A42" s="1"/>
      <c r="B42" t="s">
        <v>70</v>
      </c>
      <c r="H42" s="3"/>
    </row>
    <row r="43" spans="1:8" x14ac:dyDescent="0.35">
      <c r="A43" s="1"/>
      <c r="B43" s="5" t="s">
        <v>71</v>
      </c>
      <c r="H43" s="3"/>
    </row>
    <row r="44" spans="1:8" x14ac:dyDescent="0.35">
      <c r="A44" s="1"/>
      <c r="B44" s="1"/>
      <c r="H44" s="3"/>
    </row>
    <row r="45" spans="1:8" x14ac:dyDescent="0.35">
      <c r="A45" s="1"/>
      <c r="B45" t="s">
        <v>72</v>
      </c>
      <c r="H45" s="3"/>
    </row>
    <row r="46" spans="1:8" x14ac:dyDescent="0.35">
      <c r="A46" s="1"/>
      <c r="B46" t="s">
        <v>73</v>
      </c>
      <c r="H46" s="3"/>
    </row>
    <row r="47" spans="1:8" x14ac:dyDescent="0.35">
      <c r="A47" s="1"/>
      <c r="H47" s="3"/>
    </row>
    <row r="48" spans="1:8" x14ac:dyDescent="0.35">
      <c r="A48" s="1"/>
      <c r="B48" t="s">
        <v>74</v>
      </c>
      <c r="H48" s="3"/>
    </row>
    <row r="49" spans="1:8" x14ac:dyDescent="0.35">
      <c r="A49" s="1"/>
      <c r="H49" s="3"/>
    </row>
    <row r="50" spans="1:8" x14ac:dyDescent="0.35">
      <c r="A50" s="1"/>
      <c r="B50" t="e" cm="1">
        <f t="array" ref="B50:B69">SEARCH("substitution - on",H4:H23)</f>
        <v>#VALUE!</v>
      </c>
      <c r="C50" s="1" t="str">
        <f ca="1">_xlfn.FORMULATEXT(B50)</f>
        <v>=SEARCH("substitution - on",H4:H23)</v>
      </c>
      <c r="H50" s="3"/>
    </row>
    <row r="51" spans="1:8" x14ac:dyDescent="0.35">
      <c r="A51" s="1"/>
      <c r="B51" t="e">
        <v>#VALUE!</v>
      </c>
      <c r="H51" s="3"/>
    </row>
    <row r="52" spans="1:8" x14ac:dyDescent="0.35">
      <c r="A52" s="1"/>
      <c r="B52" s="7">
        <v>141</v>
      </c>
      <c r="H52" s="3"/>
    </row>
    <row r="53" spans="1:8" x14ac:dyDescent="0.35">
      <c r="A53" s="1"/>
      <c r="B53" t="e">
        <v>#VALUE!</v>
      </c>
      <c r="H53" s="3"/>
    </row>
    <row r="54" spans="1:8" x14ac:dyDescent="0.35">
      <c r="A54" s="1"/>
      <c r="B54" t="e">
        <v>#VALUE!</v>
      </c>
      <c r="H54" s="3"/>
    </row>
    <row r="55" spans="1:8" x14ac:dyDescent="0.35">
      <c r="A55" s="1"/>
      <c r="B55" t="e">
        <v>#VALUE!</v>
      </c>
      <c r="H55" s="3"/>
    </row>
    <row r="56" spans="1:8" x14ac:dyDescent="0.35">
      <c r="A56" s="1"/>
      <c r="B56" t="e">
        <v>#VALUE!</v>
      </c>
      <c r="H56" s="3"/>
    </row>
    <row r="57" spans="1:8" x14ac:dyDescent="0.35">
      <c r="A57" s="1"/>
      <c r="B57" s="7">
        <v>140</v>
      </c>
      <c r="H57" s="3"/>
    </row>
    <row r="58" spans="1:8" x14ac:dyDescent="0.35">
      <c r="A58" s="1"/>
      <c r="B58" t="e">
        <v>#VALUE!</v>
      </c>
      <c r="H58" s="3"/>
    </row>
    <row r="59" spans="1:8" x14ac:dyDescent="0.35">
      <c r="A59" s="1"/>
      <c r="B59" t="e">
        <v>#VALUE!</v>
      </c>
      <c r="H59" s="3"/>
    </row>
    <row r="60" spans="1:8" x14ac:dyDescent="0.35">
      <c r="A60" s="1"/>
      <c r="B60" t="e">
        <v>#VALUE!</v>
      </c>
      <c r="H60" s="3"/>
    </row>
    <row r="61" spans="1:8" x14ac:dyDescent="0.35">
      <c r="A61" s="1"/>
      <c r="B61" t="e">
        <v>#VALUE!</v>
      </c>
      <c r="H61" s="3"/>
    </row>
    <row r="62" spans="1:8" x14ac:dyDescent="0.35">
      <c r="A62" s="1"/>
      <c r="B62" t="e">
        <v>#VALUE!</v>
      </c>
      <c r="H62" s="3"/>
    </row>
    <row r="63" spans="1:8" x14ac:dyDescent="0.35">
      <c r="A63" s="1"/>
      <c r="B63" t="e">
        <v>#VALUE!</v>
      </c>
      <c r="H63" s="3"/>
    </row>
    <row r="64" spans="1:8" x14ac:dyDescent="0.35">
      <c r="A64" s="1"/>
      <c r="B64" t="e">
        <v>#VALUE!</v>
      </c>
      <c r="H64" s="3"/>
    </row>
    <row r="65" spans="1:8" x14ac:dyDescent="0.35">
      <c r="A65" s="1"/>
      <c r="B65" t="e">
        <v>#VALUE!</v>
      </c>
      <c r="H65" s="3"/>
    </row>
    <row r="66" spans="1:8" x14ac:dyDescent="0.35">
      <c r="A66" s="1"/>
      <c r="B66" s="7">
        <v>134</v>
      </c>
      <c r="H66" s="3"/>
    </row>
    <row r="67" spans="1:8" x14ac:dyDescent="0.35">
      <c r="A67" s="1"/>
      <c r="B67" t="e">
        <v>#VALUE!</v>
      </c>
      <c r="H67" s="3"/>
    </row>
    <row r="68" spans="1:8" x14ac:dyDescent="0.35">
      <c r="A68" s="1"/>
      <c r="B68" t="e">
        <v>#VALUE!</v>
      </c>
      <c r="H68" s="3"/>
    </row>
    <row r="69" spans="1:8" x14ac:dyDescent="0.35">
      <c r="A69" s="1"/>
      <c r="B69" t="e">
        <v>#VALUE!</v>
      </c>
      <c r="H69" s="3"/>
    </row>
    <row r="70" spans="1:8" x14ac:dyDescent="0.35">
      <c r="A70" s="1"/>
      <c r="H70" s="3"/>
    </row>
    <row r="71" spans="1:8" x14ac:dyDescent="0.35">
      <c r="A71" s="1"/>
      <c r="B71" t="s">
        <v>75</v>
      </c>
      <c r="H71" s="3"/>
    </row>
    <row r="72" spans="1:8" x14ac:dyDescent="0.35">
      <c r="A72" s="1"/>
      <c r="B72" t="s">
        <v>76</v>
      </c>
      <c r="H72" s="3"/>
    </row>
    <row r="73" spans="1:8" x14ac:dyDescent="0.35">
      <c r="A73" s="1"/>
      <c r="B73" t="s">
        <v>77</v>
      </c>
      <c r="H73" s="3"/>
    </row>
    <row r="74" spans="1:8" x14ac:dyDescent="0.35">
      <c r="A74" s="1"/>
      <c r="H74" s="3"/>
    </row>
    <row r="75" spans="1:8" x14ac:dyDescent="0.35">
      <c r="A75" s="1"/>
      <c r="B75" t="s">
        <v>78</v>
      </c>
      <c r="H75" s="3"/>
    </row>
    <row r="76" spans="1:8" x14ac:dyDescent="0.35">
      <c r="A76" s="1"/>
      <c r="B76" s="6"/>
      <c r="H76" s="3"/>
    </row>
    <row r="77" spans="1:8" x14ac:dyDescent="0.35">
      <c r="A77" s="1"/>
      <c r="B77" s="6" t="b" cm="1">
        <f t="array" ref="B77:B96">ISNUMBER(SEARCH("substitution - on",H4:H23))</f>
        <v>0</v>
      </c>
      <c r="C77" s="1" t="str">
        <f ca="1">_xlfn.FORMULATEXT(B77)</f>
        <v>=ISNUMBER(SEARCH("substitution - on",H4:H23))</v>
      </c>
      <c r="H77" s="3"/>
    </row>
    <row r="78" spans="1:8" x14ac:dyDescent="0.35">
      <c r="A78" s="1"/>
      <c r="B78" s="6" t="b">
        <v>0</v>
      </c>
      <c r="H78" s="3"/>
    </row>
    <row r="79" spans="1:8" x14ac:dyDescent="0.35">
      <c r="A79" s="1"/>
      <c r="B79" s="8" t="b">
        <v>1</v>
      </c>
      <c r="H79" s="3"/>
    </row>
    <row r="80" spans="1:8" x14ac:dyDescent="0.35">
      <c r="A80" s="1"/>
      <c r="B80" s="6" t="b">
        <v>0</v>
      </c>
      <c r="H80" s="3"/>
    </row>
    <row r="81" spans="1:8" x14ac:dyDescent="0.35">
      <c r="A81" s="1"/>
      <c r="B81" s="6" t="b">
        <v>0</v>
      </c>
      <c r="H81" s="3"/>
    </row>
    <row r="82" spans="1:8" x14ac:dyDescent="0.35">
      <c r="A82" s="1"/>
      <c r="B82" s="6" t="b">
        <v>0</v>
      </c>
      <c r="H82" s="3"/>
    </row>
    <row r="83" spans="1:8" x14ac:dyDescent="0.35">
      <c r="A83" s="1"/>
      <c r="B83" s="6" t="b">
        <v>0</v>
      </c>
      <c r="H83" s="3"/>
    </row>
    <row r="84" spans="1:8" x14ac:dyDescent="0.35">
      <c r="A84" s="1"/>
      <c r="B84" s="8" t="b">
        <v>1</v>
      </c>
      <c r="H84" s="3"/>
    </row>
    <row r="85" spans="1:8" x14ac:dyDescent="0.35">
      <c r="A85" s="1"/>
      <c r="B85" s="6" t="b">
        <v>0</v>
      </c>
      <c r="H85" s="3"/>
    </row>
    <row r="86" spans="1:8" x14ac:dyDescent="0.35">
      <c r="A86" s="1"/>
      <c r="B86" s="6" t="b">
        <v>0</v>
      </c>
      <c r="H86" s="3"/>
    </row>
    <row r="87" spans="1:8" x14ac:dyDescent="0.35">
      <c r="A87" s="1"/>
      <c r="B87" s="6" t="b">
        <v>0</v>
      </c>
      <c r="H87" s="3"/>
    </row>
    <row r="88" spans="1:8" x14ac:dyDescent="0.35">
      <c r="A88" s="1"/>
      <c r="B88" s="6" t="b">
        <v>0</v>
      </c>
      <c r="H88" s="3"/>
    </row>
    <row r="89" spans="1:8" x14ac:dyDescent="0.35">
      <c r="A89" s="1"/>
      <c r="B89" s="6" t="b">
        <v>0</v>
      </c>
      <c r="H89" s="3"/>
    </row>
    <row r="90" spans="1:8" x14ac:dyDescent="0.35">
      <c r="A90" s="1"/>
      <c r="B90" s="6" t="b">
        <v>0</v>
      </c>
      <c r="H90" s="3"/>
    </row>
    <row r="91" spans="1:8" x14ac:dyDescent="0.35">
      <c r="A91" s="1"/>
      <c r="B91" s="6" t="b">
        <v>0</v>
      </c>
      <c r="H91" s="3"/>
    </row>
    <row r="92" spans="1:8" x14ac:dyDescent="0.35">
      <c r="A92" s="1"/>
      <c r="B92" s="6" t="b">
        <v>0</v>
      </c>
      <c r="H92" s="3"/>
    </row>
    <row r="93" spans="1:8" x14ac:dyDescent="0.35">
      <c r="A93" s="1"/>
      <c r="B93" s="8" t="b">
        <v>1</v>
      </c>
      <c r="H93" s="3"/>
    </row>
    <row r="94" spans="1:8" x14ac:dyDescent="0.35">
      <c r="A94" s="1"/>
      <c r="B94" s="6" t="b">
        <v>0</v>
      </c>
      <c r="H94" s="3"/>
    </row>
    <row r="95" spans="1:8" x14ac:dyDescent="0.35">
      <c r="A95" s="1"/>
      <c r="B95" s="6" t="b">
        <v>0</v>
      </c>
      <c r="H95" s="3"/>
    </row>
    <row r="96" spans="1:8" x14ac:dyDescent="0.35">
      <c r="A96" s="1"/>
      <c r="B96" t="b">
        <v>0</v>
      </c>
      <c r="H96" s="3"/>
    </row>
    <row r="97" spans="1:8" x14ac:dyDescent="0.35">
      <c r="A97" s="1"/>
      <c r="H97" s="3"/>
    </row>
    <row r="98" spans="1:8" x14ac:dyDescent="0.35">
      <c r="A98" s="1"/>
      <c r="B98" t="s">
        <v>79</v>
      </c>
      <c r="H98" s="3"/>
    </row>
    <row r="99" spans="1:8" x14ac:dyDescent="0.35">
      <c r="A99" s="1"/>
      <c r="H99" s="3"/>
    </row>
    <row r="100" spans="1:8" x14ac:dyDescent="0.35">
      <c r="A100" s="1"/>
      <c r="B100" t="s">
        <v>80</v>
      </c>
      <c r="H100" s="3"/>
    </row>
    <row r="101" spans="1:8" x14ac:dyDescent="0.35">
      <c r="A101" s="1"/>
      <c r="H101" s="3"/>
    </row>
    <row r="102" spans="1:8" x14ac:dyDescent="0.35">
      <c r="A102" s="1"/>
      <c r="B102" s="9" t="str" cm="1">
        <f t="array" ref="B102:B104">_xlfn._xlws.FILTER(C4:C23,ISNUMBER(SEARCH("substitution - on",H4:H23)))</f>
        <v>Alex Iwobi</v>
      </c>
      <c r="D102" s="1" t="str">
        <f ca="1">_xlfn.FORMULATEXT(B102)</f>
        <v>=FILTER(C4:C23,ISNUMBER(SEARCH("substitution - on",H4:H23)))</v>
      </c>
      <c r="H102" s="3"/>
    </row>
    <row r="103" spans="1:8" x14ac:dyDescent="0.35">
      <c r="A103" s="1"/>
      <c r="B103" t="str">
        <v>Odion Jude Ighalo</v>
      </c>
      <c r="H103" s="3"/>
    </row>
    <row r="104" spans="1:8" x14ac:dyDescent="0.35">
      <c r="A104" s="1"/>
      <c r="B104" t="str">
        <v>Tyronne Ebuehi</v>
      </c>
      <c r="H104" s="3"/>
    </row>
    <row r="105" spans="1:8" x14ac:dyDescent="0.35">
      <c r="A105" s="1"/>
      <c r="H105" s="3"/>
    </row>
    <row r="106" spans="1:8" x14ac:dyDescent="0.35">
      <c r="A106" s="1"/>
      <c r="B106" t="s">
        <v>81</v>
      </c>
      <c r="H106" s="3"/>
    </row>
    <row r="107" spans="1:8" x14ac:dyDescent="0.35">
      <c r="A107" s="1"/>
      <c r="B107" t="s">
        <v>82</v>
      </c>
      <c r="H107" s="3"/>
    </row>
    <row r="108" spans="1:8" x14ac:dyDescent="0.35">
      <c r="A108" s="1"/>
      <c r="B108" s="2" t="s">
        <v>83</v>
      </c>
      <c r="H108" s="3"/>
    </row>
    <row r="109" spans="1:8" x14ac:dyDescent="0.35">
      <c r="A109" s="1"/>
      <c r="B109" s="2" t="s">
        <v>84</v>
      </c>
      <c r="H109" s="3"/>
    </row>
    <row r="110" spans="1:8" x14ac:dyDescent="0.35">
      <c r="A110" s="1"/>
      <c r="B110" s="2" t="s">
        <v>85</v>
      </c>
      <c r="H110" s="3"/>
    </row>
    <row r="111" spans="1:8" x14ac:dyDescent="0.35">
      <c r="A111" s="1"/>
      <c r="B111" s="2" t="s">
        <v>86</v>
      </c>
      <c r="H111" s="3"/>
    </row>
    <row r="112" spans="1:8" x14ac:dyDescent="0.35">
      <c r="A112" s="1"/>
      <c r="B112" s="2" t="s">
        <v>87</v>
      </c>
      <c r="H112" s="3"/>
    </row>
    <row r="113" spans="1:8" x14ac:dyDescent="0.35">
      <c r="A113" s="1"/>
      <c r="H113" s="3"/>
    </row>
    <row r="114" spans="1:8" x14ac:dyDescent="0.35">
      <c r="A114" s="1">
        <v>3</v>
      </c>
      <c r="B114" t="s">
        <v>5</v>
      </c>
      <c r="H114" s="3"/>
    </row>
    <row r="115" spans="1:8" x14ac:dyDescent="0.35">
      <c r="A115" s="1"/>
      <c r="H115" s="3"/>
    </row>
    <row r="116" spans="1:8" x14ac:dyDescent="0.35">
      <c r="A116" s="1"/>
      <c r="B116" t="str" cm="1">
        <f t="array" ref="B116:B121">_xlfn._xlws.FILTER(C4:C23,(LEN(H4:H23)-LEN(SUBSTITUTE(H4:H23,"position_id","")))/LEN("position_id")&gt;1)</f>
        <v>Onyinye Wilfred Ndidi</v>
      </c>
      <c r="E116" s="1" t="str">
        <f ca="1">_xlfn.FORMULATEXT(B116)</f>
        <v>=FILTER(C4:C23,(LEN(H4:H23)-LEN(SUBSTITUTE(H4:H23,"position_id","")))/LEN("position_id")&gt;1)</v>
      </c>
      <c r="H116" s="3"/>
    </row>
    <row r="117" spans="1:8" x14ac:dyDescent="0.35">
      <c r="A117" s="1"/>
      <c r="B117" t="str">
        <v>Alex Iwobi</v>
      </c>
      <c r="H117" s="3"/>
    </row>
    <row r="118" spans="1:8" x14ac:dyDescent="0.35">
      <c r="A118" s="1"/>
      <c r="B118" t="str">
        <v>Odion Jude Ighalo</v>
      </c>
      <c r="H118" s="3"/>
    </row>
    <row r="119" spans="1:8" x14ac:dyDescent="0.35">
      <c r="A119" s="1"/>
      <c r="B119" t="str">
        <v>Ahmed Musa</v>
      </c>
      <c r="H119" s="3"/>
    </row>
    <row r="120" spans="1:8" x14ac:dyDescent="0.35">
      <c r="A120" s="1"/>
      <c r="B120" t="str">
        <v>John Michael Nchekwube Obinna</v>
      </c>
      <c r="H120" s="3"/>
    </row>
    <row r="121" spans="1:8" x14ac:dyDescent="0.35">
      <c r="A121" s="1"/>
      <c r="B121" t="str">
        <v>Kenneth Josiah Omeruo</v>
      </c>
      <c r="H121" s="3"/>
    </row>
    <row r="122" spans="1:8" x14ac:dyDescent="0.35">
      <c r="A122" s="1"/>
      <c r="H122" s="3"/>
    </row>
    <row r="123" spans="1:8" x14ac:dyDescent="0.35">
      <c r="A123" s="1"/>
      <c r="B123" t="s">
        <v>88</v>
      </c>
      <c r="H123" s="3"/>
    </row>
    <row r="124" spans="1:8" x14ac:dyDescent="0.35">
      <c r="A124" s="1"/>
      <c r="B124" t="s">
        <v>89</v>
      </c>
      <c r="H124" s="3"/>
    </row>
    <row r="125" spans="1:8" x14ac:dyDescent="0.35">
      <c r="A125" s="1"/>
      <c r="H125" s="3"/>
    </row>
    <row r="126" spans="1:8" x14ac:dyDescent="0.35">
      <c r="A126" s="1"/>
      <c r="B126" t="s">
        <v>90</v>
      </c>
      <c r="H126" s="3"/>
    </row>
    <row r="127" spans="1:8" x14ac:dyDescent="0.35">
      <c r="A127" s="1"/>
      <c r="B127" t="s">
        <v>91</v>
      </c>
      <c r="H127" s="3"/>
    </row>
    <row r="128" spans="1:8" x14ac:dyDescent="0.35">
      <c r="A128" s="1"/>
      <c r="H128" s="3"/>
    </row>
    <row r="129" spans="1:8" x14ac:dyDescent="0.35">
      <c r="A129" s="1"/>
      <c r="B129" s="14" t="s">
        <v>92</v>
      </c>
      <c r="C129" s="15"/>
      <c r="D129" s="15"/>
      <c r="E129" s="15"/>
      <c r="F129" s="15"/>
      <c r="G129" s="15"/>
      <c r="H129" s="3"/>
    </row>
    <row r="130" spans="1:8" x14ac:dyDescent="0.35">
      <c r="A130" s="1"/>
      <c r="B130" s="15"/>
      <c r="C130" s="15"/>
      <c r="D130" s="15"/>
      <c r="E130" s="15"/>
      <c r="F130" s="15"/>
      <c r="G130" s="15"/>
      <c r="H130" s="3"/>
    </row>
    <row r="131" spans="1:8" x14ac:dyDescent="0.35">
      <c r="A131" s="1"/>
      <c r="B131" s="15"/>
      <c r="C131" s="15"/>
      <c r="D131" s="15"/>
      <c r="E131" s="15"/>
      <c r="F131" s="15"/>
      <c r="G131" s="15"/>
      <c r="H131" s="3"/>
    </row>
    <row r="132" spans="1:8" x14ac:dyDescent="0.35">
      <c r="A132" s="1"/>
      <c r="B132" s="15"/>
      <c r="C132" s="15"/>
      <c r="D132" s="15"/>
      <c r="E132" s="15"/>
      <c r="F132" s="15"/>
      <c r="G132" s="15"/>
      <c r="H132" s="3"/>
    </row>
    <row r="133" spans="1:8" x14ac:dyDescent="0.35">
      <c r="A133" s="1"/>
      <c r="B133" s="15"/>
      <c r="C133" s="15"/>
      <c r="D133" s="15"/>
      <c r="E133" s="15"/>
      <c r="F133" s="15"/>
      <c r="G133" s="15"/>
      <c r="H133" s="3"/>
    </row>
    <row r="134" spans="1:8" ht="20.25" customHeight="1" x14ac:dyDescent="0.35">
      <c r="A134" s="1"/>
      <c r="B134" s="15"/>
      <c r="C134" s="15"/>
      <c r="D134" s="15"/>
      <c r="E134" s="15"/>
      <c r="F134" s="15"/>
      <c r="G134" s="15"/>
      <c r="H134" s="3"/>
    </row>
    <row r="135" spans="1:8" x14ac:dyDescent="0.35">
      <c r="A135" s="1"/>
      <c r="H135" s="3"/>
    </row>
    <row r="136" spans="1:8" x14ac:dyDescent="0.35">
      <c r="A136" s="1"/>
      <c r="B136" t="s">
        <v>93</v>
      </c>
      <c r="H136" s="3"/>
    </row>
    <row r="137" spans="1:8" x14ac:dyDescent="0.35">
      <c r="A137" s="1"/>
      <c r="B137" t="s">
        <v>94</v>
      </c>
      <c r="H137" s="3"/>
    </row>
    <row r="138" spans="1:8" x14ac:dyDescent="0.35">
      <c r="A138" s="1"/>
      <c r="B138" t="s">
        <v>95</v>
      </c>
      <c r="H138" s="3"/>
    </row>
    <row r="139" spans="1:8" x14ac:dyDescent="0.35">
      <c r="A139" s="1"/>
      <c r="H139" s="3"/>
    </row>
    <row r="140" spans="1:8" x14ac:dyDescent="0.35">
      <c r="A140" s="1"/>
      <c r="B140" t="s">
        <v>96</v>
      </c>
      <c r="H140" s="3"/>
    </row>
    <row r="141" spans="1:8" x14ac:dyDescent="0.35">
      <c r="A141" s="1"/>
      <c r="B141" t="s">
        <v>97</v>
      </c>
      <c r="H141" s="3"/>
    </row>
    <row r="142" spans="1:8" x14ac:dyDescent="0.35">
      <c r="A142" s="1"/>
      <c r="B142" t="s">
        <v>98</v>
      </c>
      <c r="H142" s="3"/>
    </row>
    <row r="143" spans="1:8" x14ac:dyDescent="0.35">
      <c r="A143" s="1"/>
      <c r="B143" t="s">
        <v>99</v>
      </c>
      <c r="H143" s="3"/>
    </row>
    <row r="144" spans="1:8" x14ac:dyDescent="0.35">
      <c r="A144" s="1"/>
      <c r="B144" t="s">
        <v>100</v>
      </c>
      <c r="H144" s="3"/>
    </row>
    <row r="145" spans="1:8" x14ac:dyDescent="0.35">
      <c r="A145" s="1"/>
      <c r="H145" s="3"/>
    </row>
    <row r="146" spans="1:8" x14ac:dyDescent="0.35">
      <c r="A146" s="1"/>
      <c r="B146" s="1" t="s">
        <v>101</v>
      </c>
      <c r="H146" s="3"/>
    </row>
    <row r="147" spans="1:8" x14ac:dyDescent="0.35">
      <c r="A147" s="1"/>
      <c r="H147" s="3"/>
    </row>
    <row r="148" spans="1:8" x14ac:dyDescent="0.35">
      <c r="A148" s="1"/>
      <c r="B148" s="1" t="s">
        <v>102</v>
      </c>
      <c r="H148" s="3"/>
    </row>
    <row r="149" spans="1:8" x14ac:dyDescent="0.35">
      <c r="A149" s="1"/>
      <c r="H149" s="3"/>
    </row>
    <row r="150" spans="1:8" x14ac:dyDescent="0.35">
      <c r="A150" s="1"/>
      <c r="B150" cm="1">
        <f t="array" ref="B150:B169">LEN(H4:H23)</f>
        <v>2</v>
      </c>
      <c r="C150" s="1" t="str">
        <f ca="1">_xlfn.FORMULATEXT(B150)</f>
        <v>=LEN(H4:H23)</v>
      </c>
      <c r="H150" s="3"/>
    </row>
    <row r="151" spans="1:8" x14ac:dyDescent="0.35">
      <c r="A151" s="1"/>
      <c r="B151">
        <v>370</v>
      </c>
      <c r="H151" s="3"/>
    </row>
    <row r="152" spans="1:8" x14ac:dyDescent="0.35">
      <c r="A152" s="1"/>
      <c r="B152">
        <v>396</v>
      </c>
      <c r="H152" s="3"/>
    </row>
    <row r="153" spans="1:8" x14ac:dyDescent="0.35">
      <c r="A153" s="1"/>
      <c r="B153">
        <v>200</v>
      </c>
      <c r="H153" s="3"/>
    </row>
    <row r="154" spans="1:8" x14ac:dyDescent="0.35">
      <c r="A154" s="1"/>
      <c r="B154">
        <v>179</v>
      </c>
      <c r="H154" s="3"/>
    </row>
    <row r="155" spans="1:8" x14ac:dyDescent="0.35">
      <c r="A155" s="1"/>
      <c r="B155">
        <v>174</v>
      </c>
      <c r="H155" s="3"/>
    </row>
    <row r="156" spans="1:8" x14ac:dyDescent="0.35">
      <c r="A156" s="1"/>
      <c r="B156">
        <v>175</v>
      </c>
      <c r="H156" s="3"/>
    </row>
    <row r="157" spans="1:8" x14ac:dyDescent="0.35">
      <c r="A157" s="1"/>
      <c r="B157">
        <v>390</v>
      </c>
      <c r="H157" s="3"/>
    </row>
    <row r="158" spans="1:8" x14ac:dyDescent="0.35">
      <c r="A158" s="1"/>
      <c r="B158">
        <v>194</v>
      </c>
      <c r="H158" s="3"/>
    </row>
    <row r="159" spans="1:8" x14ac:dyDescent="0.35">
      <c r="A159" s="1"/>
      <c r="B159">
        <v>2</v>
      </c>
      <c r="H159" s="3"/>
    </row>
    <row r="160" spans="1:8" x14ac:dyDescent="0.35">
      <c r="A160" s="1"/>
      <c r="B160">
        <v>201</v>
      </c>
      <c r="H160" s="3"/>
    </row>
    <row r="161" spans="1:8" x14ac:dyDescent="0.35">
      <c r="A161" s="1"/>
      <c r="B161">
        <v>181</v>
      </c>
      <c r="H161" s="3"/>
    </row>
    <row r="162" spans="1:8" x14ac:dyDescent="0.35">
      <c r="A162" s="1"/>
      <c r="B162">
        <v>2</v>
      </c>
      <c r="H162" s="3"/>
    </row>
    <row r="163" spans="1:8" x14ac:dyDescent="0.35">
      <c r="A163" s="1"/>
      <c r="B163">
        <v>373</v>
      </c>
      <c r="H163" s="3"/>
    </row>
    <row r="164" spans="1:8" x14ac:dyDescent="0.35">
      <c r="A164" s="1"/>
      <c r="B164">
        <v>559</v>
      </c>
      <c r="H164" s="3"/>
    </row>
    <row r="165" spans="1:8" x14ac:dyDescent="0.35">
      <c r="A165" s="1"/>
      <c r="B165">
        <v>357</v>
      </c>
      <c r="H165" s="3"/>
    </row>
    <row r="166" spans="1:8" x14ac:dyDescent="0.35">
      <c r="A166" s="1"/>
      <c r="B166">
        <v>195</v>
      </c>
      <c r="H166" s="3"/>
    </row>
    <row r="167" spans="1:8" x14ac:dyDescent="0.35">
      <c r="A167" s="1"/>
      <c r="B167">
        <v>2</v>
      </c>
      <c r="H167" s="3"/>
    </row>
    <row r="168" spans="1:8" x14ac:dyDescent="0.35">
      <c r="A168" s="1"/>
      <c r="B168">
        <v>2</v>
      </c>
      <c r="H168" s="3"/>
    </row>
    <row r="169" spans="1:8" x14ac:dyDescent="0.35">
      <c r="A169" s="1"/>
      <c r="B169">
        <v>2</v>
      </c>
      <c r="H169" s="3"/>
    </row>
    <row r="170" spans="1:8" x14ac:dyDescent="0.35">
      <c r="A170" s="1"/>
      <c r="H170" s="3"/>
    </row>
    <row r="171" spans="1:8" x14ac:dyDescent="0.35">
      <c r="A171" s="1"/>
      <c r="B171" t="s">
        <v>103</v>
      </c>
      <c r="H171" s="3"/>
    </row>
    <row r="172" spans="1:8" x14ac:dyDescent="0.35">
      <c r="A172" s="1"/>
      <c r="B172" s="2" t="s">
        <v>104</v>
      </c>
      <c r="H172" s="3"/>
    </row>
    <row r="173" spans="1:8" x14ac:dyDescent="0.35">
      <c r="A173" s="1"/>
      <c r="H173" s="3"/>
    </row>
    <row r="174" spans="1:8" x14ac:dyDescent="0.35">
      <c r="A174" s="1"/>
      <c r="B174" s="1" t="s">
        <v>105</v>
      </c>
      <c r="H174" s="3"/>
    </row>
    <row r="175" spans="1:8" x14ac:dyDescent="0.35">
      <c r="A175" s="1"/>
      <c r="H175" s="3"/>
    </row>
    <row r="176" spans="1:8" x14ac:dyDescent="0.35">
      <c r="A176" s="1"/>
      <c r="B176" s="6" cm="1">
        <f t="array" ref="B176:B195">LEN(SUBSTITUTE(H4:H23,"position_id",""))</f>
        <v>2</v>
      </c>
      <c r="C176" s="1" t="str">
        <f ca="1">_xlfn.FORMULATEXT(B176)</f>
        <v>=LEN(SUBSTITUTE(H4:H23,"position_id",""))</v>
      </c>
      <c r="H176" s="3"/>
    </row>
    <row r="177" spans="1:8" x14ac:dyDescent="0.35">
      <c r="A177" s="1"/>
      <c r="B177">
        <v>348</v>
      </c>
      <c r="H177" s="3"/>
    </row>
    <row r="178" spans="1:8" x14ac:dyDescent="0.35">
      <c r="A178" s="1"/>
      <c r="B178">
        <v>374</v>
      </c>
      <c r="H178" s="3"/>
    </row>
    <row r="179" spans="1:8" x14ac:dyDescent="0.35">
      <c r="A179" s="1"/>
      <c r="B179">
        <v>189</v>
      </c>
      <c r="H179" s="3"/>
    </row>
    <row r="180" spans="1:8" x14ac:dyDescent="0.35">
      <c r="A180" s="1"/>
      <c r="B180">
        <v>168</v>
      </c>
      <c r="H180" s="3"/>
    </row>
    <row r="181" spans="1:8" x14ac:dyDescent="0.35">
      <c r="A181" s="1"/>
      <c r="B181">
        <v>163</v>
      </c>
      <c r="H181" s="3"/>
    </row>
    <row r="182" spans="1:8" x14ac:dyDescent="0.35">
      <c r="A182" s="1"/>
      <c r="B182">
        <v>164</v>
      </c>
      <c r="H182" s="3"/>
    </row>
    <row r="183" spans="1:8" x14ac:dyDescent="0.35">
      <c r="A183" s="1"/>
      <c r="B183">
        <v>368</v>
      </c>
      <c r="H183" s="3"/>
    </row>
    <row r="184" spans="1:8" x14ac:dyDescent="0.35">
      <c r="A184" s="1"/>
      <c r="B184">
        <v>183</v>
      </c>
      <c r="H184" s="3"/>
    </row>
    <row r="185" spans="1:8" x14ac:dyDescent="0.35">
      <c r="A185" s="1"/>
      <c r="B185">
        <v>2</v>
      </c>
      <c r="H185" s="3"/>
    </row>
    <row r="186" spans="1:8" x14ac:dyDescent="0.35">
      <c r="A186" s="1"/>
      <c r="B186">
        <v>190</v>
      </c>
      <c r="H186" s="3"/>
    </row>
    <row r="187" spans="1:8" x14ac:dyDescent="0.35">
      <c r="A187" s="1"/>
      <c r="B187">
        <v>170</v>
      </c>
      <c r="H187" s="3"/>
    </row>
    <row r="188" spans="1:8" x14ac:dyDescent="0.35">
      <c r="A188" s="1"/>
      <c r="B188">
        <v>2</v>
      </c>
      <c r="H188" s="3"/>
    </row>
    <row r="189" spans="1:8" x14ac:dyDescent="0.35">
      <c r="A189" s="1"/>
      <c r="B189">
        <v>351</v>
      </c>
      <c r="H189" s="3"/>
    </row>
    <row r="190" spans="1:8" x14ac:dyDescent="0.35">
      <c r="A190" s="1"/>
      <c r="B190">
        <v>526</v>
      </c>
      <c r="H190" s="3"/>
    </row>
    <row r="191" spans="1:8" x14ac:dyDescent="0.35">
      <c r="A191" s="1"/>
      <c r="B191">
        <v>335</v>
      </c>
      <c r="H191" s="3"/>
    </row>
    <row r="192" spans="1:8" x14ac:dyDescent="0.35">
      <c r="A192" s="1"/>
      <c r="B192">
        <v>184</v>
      </c>
      <c r="H192" s="3"/>
    </row>
    <row r="193" spans="1:8" x14ac:dyDescent="0.35">
      <c r="A193" s="1"/>
      <c r="B193">
        <v>2</v>
      </c>
      <c r="H193" s="3"/>
    </row>
    <row r="194" spans="1:8" x14ac:dyDescent="0.35">
      <c r="A194" s="1"/>
      <c r="B194">
        <v>2</v>
      </c>
      <c r="H194" s="3"/>
    </row>
    <row r="195" spans="1:8" x14ac:dyDescent="0.35">
      <c r="A195" s="1"/>
      <c r="B195">
        <v>2</v>
      </c>
      <c r="H195" s="3"/>
    </row>
    <row r="196" spans="1:8" x14ac:dyDescent="0.35">
      <c r="A196" s="1"/>
      <c r="H196" s="3"/>
    </row>
    <row r="197" spans="1:8" x14ac:dyDescent="0.35">
      <c r="A197" s="1"/>
      <c r="B197" t="s">
        <v>106</v>
      </c>
      <c r="H197" s="3"/>
    </row>
    <row r="198" spans="1:8" x14ac:dyDescent="0.35">
      <c r="A198" s="1"/>
      <c r="B198" t="s">
        <v>107</v>
      </c>
      <c r="H198" s="3"/>
    </row>
    <row r="199" spans="1:8" x14ac:dyDescent="0.35">
      <c r="A199" s="1"/>
      <c r="H199" s="3"/>
    </row>
    <row r="200" spans="1:8" x14ac:dyDescent="0.35">
      <c r="A200" s="1"/>
      <c r="B200" s="2" t="s">
        <v>108</v>
      </c>
      <c r="H200" s="3"/>
    </row>
    <row r="201" spans="1:8" x14ac:dyDescent="0.35">
      <c r="A201" s="1"/>
      <c r="H201" s="3"/>
    </row>
    <row r="202" spans="1:8" x14ac:dyDescent="0.35">
      <c r="A202" s="1"/>
      <c r="B202" t="s">
        <v>109</v>
      </c>
      <c r="H202" s="3"/>
    </row>
    <row r="203" spans="1:8" x14ac:dyDescent="0.35">
      <c r="A203" s="1"/>
      <c r="B203" t="s">
        <v>110</v>
      </c>
      <c r="H203" s="3"/>
    </row>
    <row r="204" spans="1:8" x14ac:dyDescent="0.35">
      <c r="A204" s="1"/>
      <c r="H204" s="3"/>
    </row>
    <row r="205" spans="1:8" x14ac:dyDescent="0.35">
      <c r="A205" s="1"/>
      <c r="B205" cm="1">
        <f t="array" ref="B205:B224">(LEN(H4:H23)-LEN(SUBSTITUTE(H4:H23,"position_id","")))/LEN("position_id")</f>
        <v>0</v>
      </c>
      <c r="D205" s="1" t="str">
        <f ca="1">_xlfn.FORMULATEXT(B205)</f>
        <v>=(LEN(H4:H23)-LEN(SUBSTITUTE(H4:H23,"position_id","")))/LEN("position_id")</v>
      </c>
      <c r="H205" s="3"/>
    </row>
    <row r="206" spans="1:8" x14ac:dyDescent="0.35">
      <c r="A206" s="1"/>
      <c r="B206">
        <v>2</v>
      </c>
      <c r="H206" s="3"/>
    </row>
    <row r="207" spans="1:8" x14ac:dyDescent="0.35">
      <c r="A207" s="1"/>
      <c r="B207">
        <v>2</v>
      </c>
      <c r="H207" s="3"/>
    </row>
    <row r="208" spans="1:8" x14ac:dyDescent="0.35">
      <c r="A208" s="1"/>
      <c r="B208">
        <v>1</v>
      </c>
      <c r="H208" s="3"/>
    </row>
    <row r="209" spans="1:8" x14ac:dyDescent="0.35">
      <c r="A209" s="1"/>
      <c r="B209">
        <v>1</v>
      </c>
      <c r="H209" s="3"/>
    </row>
    <row r="210" spans="1:8" x14ac:dyDescent="0.35">
      <c r="A210" s="1"/>
      <c r="B210">
        <v>1</v>
      </c>
      <c r="H210" s="3"/>
    </row>
    <row r="211" spans="1:8" x14ac:dyDescent="0.35">
      <c r="A211" s="1"/>
      <c r="B211">
        <v>1</v>
      </c>
      <c r="H211" s="3"/>
    </row>
    <row r="212" spans="1:8" x14ac:dyDescent="0.35">
      <c r="A212" s="1"/>
      <c r="B212">
        <v>2</v>
      </c>
      <c r="H212" s="3"/>
    </row>
    <row r="213" spans="1:8" x14ac:dyDescent="0.35">
      <c r="A213" s="1"/>
      <c r="B213">
        <v>1</v>
      </c>
      <c r="H213" s="3"/>
    </row>
    <row r="214" spans="1:8" x14ac:dyDescent="0.35">
      <c r="A214" s="1"/>
      <c r="B214">
        <v>0</v>
      </c>
      <c r="H214" s="3"/>
    </row>
    <row r="215" spans="1:8" x14ac:dyDescent="0.35">
      <c r="A215" s="1"/>
      <c r="B215">
        <v>1</v>
      </c>
      <c r="H215" s="3"/>
    </row>
    <row r="216" spans="1:8" x14ac:dyDescent="0.35">
      <c r="A216" s="1"/>
      <c r="B216">
        <v>1</v>
      </c>
      <c r="H216" s="3"/>
    </row>
    <row r="217" spans="1:8" x14ac:dyDescent="0.35">
      <c r="A217" s="1"/>
      <c r="B217">
        <v>0</v>
      </c>
      <c r="H217" s="3"/>
    </row>
    <row r="218" spans="1:8" x14ac:dyDescent="0.35">
      <c r="A218" s="1"/>
      <c r="B218">
        <v>2</v>
      </c>
      <c r="H218" s="3"/>
    </row>
    <row r="219" spans="1:8" x14ac:dyDescent="0.35">
      <c r="A219" s="1"/>
      <c r="B219">
        <v>3</v>
      </c>
      <c r="H219" s="3"/>
    </row>
    <row r="220" spans="1:8" x14ac:dyDescent="0.35">
      <c r="A220" s="1"/>
      <c r="B220">
        <v>2</v>
      </c>
      <c r="H220" s="3"/>
    </row>
    <row r="221" spans="1:8" x14ac:dyDescent="0.35">
      <c r="A221" s="1"/>
      <c r="B221">
        <v>1</v>
      </c>
      <c r="H221" s="3"/>
    </row>
    <row r="222" spans="1:8" x14ac:dyDescent="0.35">
      <c r="A222" s="1"/>
      <c r="B222">
        <v>0</v>
      </c>
      <c r="H222" s="3"/>
    </row>
    <row r="223" spans="1:8" x14ac:dyDescent="0.35">
      <c r="A223" s="1"/>
      <c r="B223">
        <v>0</v>
      </c>
      <c r="H223" s="3"/>
    </row>
    <row r="224" spans="1:8" x14ac:dyDescent="0.35">
      <c r="A224" s="1"/>
      <c r="B224">
        <v>0</v>
      </c>
      <c r="H224" s="3"/>
    </row>
    <row r="225" spans="1:8" x14ac:dyDescent="0.35">
      <c r="A225" s="1"/>
      <c r="H225" s="3"/>
    </row>
    <row r="226" spans="1:8" x14ac:dyDescent="0.35">
      <c r="A226" s="1"/>
      <c r="B226" t="s">
        <v>111</v>
      </c>
      <c r="H226" s="3"/>
    </row>
    <row r="227" spans="1:8" x14ac:dyDescent="0.35">
      <c r="A227" s="1"/>
      <c r="H227" s="3"/>
    </row>
    <row r="228" spans="1:8" x14ac:dyDescent="0.35">
      <c r="A228" s="1"/>
      <c r="B228" t="str" cm="1">
        <f t="array" ref="B228:B233">_xlfn._xlws.FILTER(C4:C23,(LEN(H4:H23)-LEN(SUBSTITUTE(H4:H23,"position_id","")))/LEN("position_id")&gt;1)</f>
        <v>Onyinye Wilfred Ndidi</v>
      </c>
      <c r="E228" s="1" t="str">
        <f ca="1">_xlfn.FORMULATEXT(B228)</f>
        <v>=FILTER(C4:C23,(LEN(H4:H23)-LEN(SUBSTITUTE(H4:H23,"position_id","")))/LEN("position_id")&gt;1)</v>
      </c>
      <c r="H228" s="3"/>
    </row>
    <row r="229" spans="1:8" x14ac:dyDescent="0.35">
      <c r="A229" s="1"/>
      <c r="B229" t="str">
        <v>Alex Iwobi</v>
      </c>
      <c r="H229" s="3"/>
    </row>
    <row r="230" spans="1:8" x14ac:dyDescent="0.35">
      <c r="A230" s="1"/>
      <c r="B230" t="str">
        <v>Odion Jude Ighalo</v>
      </c>
      <c r="H230" s="3"/>
    </row>
    <row r="231" spans="1:8" x14ac:dyDescent="0.35">
      <c r="A231" s="1"/>
      <c r="B231" t="str">
        <v>Ahmed Musa</v>
      </c>
      <c r="H231" s="3"/>
    </row>
    <row r="232" spans="1:8" x14ac:dyDescent="0.35">
      <c r="A232" s="1"/>
      <c r="B232" t="str">
        <v>John Michael Nchekwube Obinna</v>
      </c>
      <c r="H232" s="3"/>
    </row>
    <row r="233" spans="1:8" x14ac:dyDescent="0.35">
      <c r="A233" s="1"/>
      <c r="B233" t="str">
        <v>Kenneth Josiah Omeruo</v>
      </c>
      <c r="H233" s="3"/>
    </row>
    <row r="234" spans="1:8" x14ac:dyDescent="0.35">
      <c r="A234" s="1"/>
      <c r="H234" s="3"/>
    </row>
    <row r="235" spans="1:8" x14ac:dyDescent="0.35">
      <c r="A235" s="1"/>
      <c r="H235" s="3"/>
    </row>
    <row r="236" spans="1:8" x14ac:dyDescent="0.35">
      <c r="A236" s="1">
        <v>4</v>
      </c>
      <c r="B236" t="s">
        <v>6</v>
      </c>
      <c r="H236" s="3"/>
    </row>
    <row r="238" spans="1:8" x14ac:dyDescent="0.35">
      <c r="B238" t="str" cm="1">
        <f t="array" ref="B238:B245">_xlfn._xlws.FILTER(C4:C23,(ISNUMBER(SEARCH("Starting XI",H4:H23))*(ISNUMBER(SEARCH("Final Whistle",H4:H23)))))</f>
        <v>Onyinye Wilfred Ndidi</v>
      </c>
      <c r="E238" s="1" t="str">
        <f ca="1">_xlfn.FORMULATEXT(B238)</f>
        <v>=FILTER(C4:C23,(ISNUMBER(SEARCH("Starting XI",H4:H23))*(ISNUMBER(SEARCH("Final Whistle",H4:H23)))))</v>
      </c>
    </row>
    <row r="239" spans="1:8" x14ac:dyDescent="0.35">
      <c r="B239" t="str">
        <v>Victor Moses</v>
      </c>
    </row>
    <row r="240" spans="1:8" x14ac:dyDescent="0.35">
      <c r="B240" t="str">
        <v>Francis Odinaka Uzoho</v>
      </c>
    </row>
    <row r="241" spans="2:6" x14ac:dyDescent="0.35">
      <c r="B241" t="str">
        <v>William Troost-Ekong</v>
      </c>
    </row>
    <row r="242" spans="2:6" x14ac:dyDescent="0.35">
      <c r="B242" t="str">
        <v>Leon Aderemi Balogun</v>
      </c>
    </row>
    <row r="243" spans="2:6" x14ac:dyDescent="0.35">
      <c r="B243" t="str">
        <v>Ahmed Musa</v>
      </c>
    </row>
    <row r="244" spans="2:6" x14ac:dyDescent="0.35">
      <c r="B244" t="str">
        <v>John Michael Nchekwube Obinna</v>
      </c>
    </row>
    <row r="245" spans="2:6" x14ac:dyDescent="0.35">
      <c r="B245" t="str">
        <v>Kenneth Josiah Omeruo</v>
      </c>
    </row>
    <row r="247" spans="2:6" x14ac:dyDescent="0.35">
      <c r="B247" t="s">
        <v>112</v>
      </c>
    </row>
    <row r="248" spans="2:6" x14ac:dyDescent="0.35">
      <c r="B248" s="13" t="s">
        <v>113</v>
      </c>
    </row>
    <row r="250" spans="2:6" x14ac:dyDescent="0.35">
      <c r="B250" t="s">
        <v>114</v>
      </c>
    </row>
    <row r="252" spans="2:6" x14ac:dyDescent="0.35">
      <c r="B252" s="10" t="str" cm="1">
        <f t="array" ref="B252:B262">_xlfn._xlws.FILTER(C4:C23,(ISNUMBER(SEARCH("Starting XI",H4:H23))))</f>
        <v>Onyinye Wilfred Ndidi</v>
      </c>
      <c r="F252" s="1" t="str">
        <f ca="1">_xlfn.FORMULATEXT(B252)</f>
        <v>=FILTER(C4:C23,(ISNUMBER(SEARCH("Starting XI",H4:H23))))</v>
      </c>
    </row>
    <row r="253" spans="2:6" x14ac:dyDescent="0.35">
      <c r="B253" t="str">
        <v>Kelechi Promise Iheanacho</v>
      </c>
    </row>
    <row r="254" spans="2:6" x14ac:dyDescent="0.35">
      <c r="B254" s="10" t="str">
        <v>Victor Moses</v>
      </c>
    </row>
    <row r="255" spans="2:6" x14ac:dyDescent="0.35">
      <c r="B255" s="10" t="str">
        <v>Francis Odinaka Uzoho</v>
      </c>
    </row>
    <row r="256" spans="2:6" x14ac:dyDescent="0.35">
      <c r="B256" s="10" t="str">
        <v>William Troost-Ekong</v>
      </c>
    </row>
    <row r="257" spans="2:6" x14ac:dyDescent="0.35">
      <c r="B257" t="str">
        <v>Brian Oladapo Idowu</v>
      </c>
    </row>
    <row r="258" spans="2:6" x14ac:dyDescent="0.35">
      <c r="B258" t="str">
        <v>Oghenekaro Etebo</v>
      </c>
    </row>
    <row r="259" spans="2:6" x14ac:dyDescent="0.35">
      <c r="B259" s="10" t="str">
        <v>Leon Aderemi Balogun</v>
      </c>
    </row>
    <row r="260" spans="2:6" x14ac:dyDescent="0.35">
      <c r="B260" s="10" t="str">
        <v>Ahmed Musa</v>
      </c>
    </row>
    <row r="261" spans="2:6" x14ac:dyDescent="0.35">
      <c r="B261" s="10" t="str">
        <v>John Michael Nchekwube Obinna</v>
      </c>
    </row>
    <row r="262" spans="2:6" x14ac:dyDescent="0.35">
      <c r="B262" s="10" t="str">
        <v>Kenneth Josiah Omeruo</v>
      </c>
    </row>
    <row r="264" spans="2:6" x14ac:dyDescent="0.35">
      <c r="B264" t="s">
        <v>115</v>
      </c>
    </row>
    <row r="266" spans="2:6" x14ac:dyDescent="0.35">
      <c r="B266" s="10" t="str" cm="1">
        <f t="array" ref="B266:B276">_xlfn._xlws.FILTER(C4:C23,(ISNUMBER(SEARCH("Final Whistle",H4:H23))))</f>
        <v>Onyinye Wilfred Ndidi</v>
      </c>
      <c r="F266" s="1" t="str">
        <f ca="1">_xlfn.FORMULATEXT(B266)</f>
        <v>=FILTER(C4:C23,(ISNUMBER(SEARCH("Final Whistle",H4:H23))))</v>
      </c>
    </row>
    <row r="267" spans="2:6" x14ac:dyDescent="0.35">
      <c r="B267" t="str">
        <v>Alex Iwobi</v>
      </c>
    </row>
    <row r="268" spans="2:6" x14ac:dyDescent="0.35">
      <c r="B268" s="10" t="str">
        <v>Victor Moses</v>
      </c>
    </row>
    <row r="269" spans="2:6" x14ac:dyDescent="0.35">
      <c r="B269" s="10" t="str">
        <v>Francis Odinaka Uzoho</v>
      </c>
    </row>
    <row r="270" spans="2:6" x14ac:dyDescent="0.35">
      <c r="B270" s="10" t="str">
        <v>William Troost-Ekong</v>
      </c>
    </row>
    <row r="271" spans="2:6" x14ac:dyDescent="0.35">
      <c r="B271" t="str">
        <v>Odion Jude Ighalo</v>
      </c>
    </row>
    <row r="272" spans="2:6" x14ac:dyDescent="0.35">
      <c r="B272" s="10" t="str">
        <v>Leon Aderemi Balogun</v>
      </c>
    </row>
    <row r="273" spans="2:2" x14ac:dyDescent="0.35">
      <c r="B273" s="10" t="str">
        <v>Ahmed Musa</v>
      </c>
    </row>
    <row r="274" spans="2:2" x14ac:dyDescent="0.35">
      <c r="B274" s="10" t="str">
        <v>John Michael Nchekwube Obinna</v>
      </c>
    </row>
    <row r="275" spans="2:2" x14ac:dyDescent="0.35">
      <c r="B275" s="10" t="str">
        <v>Kenneth Josiah Omeruo</v>
      </c>
    </row>
    <row r="276" spans="2:2" x14ac:dyDescent="0.35">
      <c r="B276" t="str">
        <v>Tyronne Ebuehi</v>
      </c>
    </row>
    <row r="278" spans="2:2" x14ac:dyDescent="0.35">
      <c r="B278" t="s">
        <v>116</v>
      </c>
    </row>
    <row r="279" spans="2:2" x14ac:dyDescent="0.35">
      <c r="B279" t="s">
        <v>117</v>
      </c>
    </row>
    <row r="281" spans="2:2" x14ac:dyDescent="0.35">
      <c r="B281" s="2" t="s">
        <v>118</v>
      </c>
    </row>
  </sheetData>
  <mergeCells count="1">
    <mergeCell ref="B129:G134"/>
  </mergeCells>
  <hyperlinks>
    <hyperlink ref="B33" r:id="rId1" xr:uid="{C4342E39-2FC3-4123-BD06-3C4830F1B1FB}"/>
    <hyperlink ref="B34" r:id="rId2" xr:uid="{E245F572-D9C6-48C1-A310-CF0F24AA922F}"/>
    <hyperlink ref="B111" r:id="rId3" xr:uid="{69EC8CCE-5611-4AF7-BCB3-2EA6694DA74F}"/>
    <hyperlink ref="B110" r:id="rId4" display="To read more about the FIND function click here!" xr:uid="{A6A75031-C796-4F4A-A9A7-36F2A622851F}"/>
    <hyperlink ref="B109" r:id="rId5" display="To read more about the SEARCH function click here!" xr:uid="{B85F565B-EC9D-46CE-B193-61EBB5B99C0D}"/>
    <hyperlink ref="B112" r:id="rId6" display="to read more abou the FILTER function click here!" xr:uid="{70CF3E62-5BDD-4BCE-906C-006916ED50E7}"/>
    <hyperlink ref="B108" r:id="rId7" xr:uid="{C528E653-5C99-4557-9F82-E34A347C0B03}"/>
    <hyperlink ref="B172" r:id="rId8" xr:uid="{0069BC50-EB7A-4228-984A-603FD009495C}"/>
    <hyperlink ref="B200" r:id="rId9" xr:uid="{0404FFCD-C3C3-49EC-B92A-B3813AE5666B}"/>
    <hyperlink ref="B281" r:id="rId10" xr:uid="{43EFAE7C-1B62-4AAB-BD91-617C7B16DF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Solution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Khoo Zi Wei</cp:lastModifiedBy>
  <cp:revision/>
  <dcterms:created xsi:type="dcterms:W3CDTF">2022-08-13T20:20:02Z</dcterms:created>
  <dcterms:modified xsi:type="dcterms:W3CDTF">2025-11-18T10:02:59Z</dcterms:modified>
  <cp:category/>
  <cp:contentStatus/>
</cp:coreProperties>
</file>