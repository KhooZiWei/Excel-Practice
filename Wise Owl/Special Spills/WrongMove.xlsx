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32\"/>
    </mc:Choice>
  </mc:AlternateContent>
  <xr:revisionPtr revIDLastSave="0" documentId="13_ncr:1_{EA412F09-915A-41B8-8FFA-332A732E753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operties" sheetId="1" r:id="rId1"/>
    <sheet name="Sheet1" sheetId="2" r:id="rId2"/>
    <sheet name="Filter" sheetId="3" r:id="rId3"/>
  </sheets>
  <definedNames>
    <definedName name="AskingPrice">Properties!$J$4:$J$59</definedName>
    <definedName name="Bathrooms">Properties!$E$4:$E$59</definedName>
    <definedName name="Bedrooms">Properties!$D$4:$D$59</definedName>
    <definedName name="Data">Properties!$A$4:$K$59</definedName>
    <definedName name="DateOnMarket">Properties!$H$4:$H$59</definedName>
    <definedName name="DateSold">Properties!$I$4:$I$59</definedName>
    <definedName name="GardenSize">Properties!$G$4:$G$59</definedName>
    <definedName name="Location">Properties!$C$4:$C$59</definedName>
    <definedName name="PostCode">Properties!$A$4:$A$59</definedName>
    <definedName name="ReceptionRooms">Properties!$F$4:$F$59</definedName>
    <definedName name="SalePrice">Properties!$K$4:$K$59</definedName>
    <definedName name="Type">Properties!$B$4:$B$59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3" l="1" a="1"/>
  <c r="B8" i="3" s="1"/>
  <c r="C4" i="2" a="1"/>
  <c r="C4" i="2" s="1"/>
  <c r="B4" i="2" a="1"/>
  <c r="B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<sst xmlns="http://schemas.openxmlformats.org/spreadsheetml/2006/main" count="251" uniqueCount="77">
  <si>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</si>
  <si>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</si>
  <si>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</si>
  <si>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</si>
  <si>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</si>
  <si>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</si>
  <si>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</si>
  <si>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</si>
  <si>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</si>
  <si>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</si>
  <si>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</si>
  <si>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</si>
  <si>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</si>
  <si>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</si>
  <si>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</si>
  <si>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</si>
  <si>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</si>
  <si>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</si>
  <si>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</si>
  <si>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</si>
  <si>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</si>
  <si>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</si>
  <si>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</si>
  <si>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</si>
  <si>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</si>
  <si>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</si>
  <si>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</si>
  <si>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</si>
  <si>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</si>
  <si>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</si>
  <si>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</si>
  <si>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</si>
  <si>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</si>
  <si>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</si>
  <si>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</si>
  <si>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</si>
  <si>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</si>
  <si>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</si>
  <si>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</si>
  <si>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</si>
  <si>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</si>
  <si>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</si>
  <si>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</si>
  <si>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</si>
  <si>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</si>
  <si>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</si>
  <si>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</si>
  <si>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</si>
  <si>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</si>
  <si>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</si>
  <si>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</si>
  <si>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</si>
  <si>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</si>
  <si>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</si>
  <si>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</si>
  <si>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</si>
  <si>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</si>
  <si>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</si>
  <si>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</si>
  <si>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</si>
  <si>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</si>
  <si>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</si>
  <si>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</si>
  <si>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</si>
  <si>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</si>
  <si>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</si>
  <si>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</si>
  <si>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</si>
  <si>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</si>
  <si>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</si>
  <si>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</si>
  <si>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</si>
  <si>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</si>
  <si>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</si>
  <si>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</si>
  <si>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Type of property ==&gt;</t>
  </si>
  <si>
    <t>Location of property 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</si>
</sst>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120" zoomScaleNormal="120" workbookViewId="0">
      <selection activeCell="A3" sqref="A3:K3"/>
    </sheetView>
  </sheetViews>
  <sheetFormatPr defaultRowHeight="14.5" x14ac:dyDescent="0.35"/>
  <cols>
    <col min="1" max="1" width="10.90625" customWidth="1"/>
    <col min="2" max="2" width="14.90625" bestFit="1" customWidth="1"/>
    <col min="3" max="3" width="13.90625" customWidth="1"/>
    <col min="4" max="4" width="16.81640625" style="3" customWidth="1"/>
    <col min="5" max="5" width="17.36328125" style="3" customWidth="1"/>
    <col min="6" max="6" width="21.453125" style="3" customWidth="1"/>
    <col min="7" max="7" width="15.36328125" style="3" customWidth="1"/>
    <col min="8" max="8" width="15.54296875" style="3" customWidth="1"/>
    <col min="9" max="9" width="11.90625" style="3" customWidth="1"/>
    <col min="10" max="10" width="12.453125" customWidth="1"/>
    <col min="11" max="11" width="11.36328125" bestFit="1" customWidth="1"/>
  </cols>
  <sheetData>
    <row r="1" spans="1:12" ht="18.5" x14ac:dyDescent="0.45">
      <c r="A1" s="2" t="s">
        <v>7</v>
      </c>
    </row>
    <row r="3" spans="1:12" s="7" customFormat="1" x14ac:dyDescent="0.3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3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2">
        <v>44525</v>
      </c>
      <c r="I4" s="4"/>
      <c r="J4" s="9">
        <v>345000</v>
      </c>
      <c r="K4" s="9"/>
    </row>
    <row r="5" spans="1:12" x14ac:dyDescent="0.3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2">
        <v>44394</v>
      </c>
      <c r="I5" s="12">
        <v>44592</v>
      </c>
      <c r="J5" s="9">
        <v>245000</v>
      </c>
      <c r="K5" s="9">
        <v>238500</v>
      </c>
    </row>
    <row r="6" spans="1:12" x14ac:dyDescent="0.3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2">
        <v>44492</v>
      </c>
      <c r="I6" s="12">
        <v>44548</v>
      </c>
      <c r="J6" s="9">
        <v>199000</v>
      </c>
      <c r="K6" s="9">
        <v>199000</v>
      </c>
    </row>
    <row r="7" spans="1:12" x14ac:dyDescent="0.3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2">
        <v>44851</v>
      </c>
      <c r="I7" s="12">
        <v>44583</v>
      </c>
      <c r="J7" s="9">
        <v>398000</v>
      </c>
      <c r="K7" s="9">
        <v>387500</v>
      </c>
    </row>
    <row r="8" spans="1:12" x14ac:dyDescent="0.3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2">
        <v>44528</v>
      </c>
      <c r="I8" s="12">
        <v>44913</v>
      </c>
      <c r="J8" s="9">
        <v>329000</v>
      </c>
      <c r="K8" s="9">
        <v>319500</v>
      </c>
    </row>
    <row r="9" spans="1:12" x14ac:dyDescent="0.3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2">
        <v>44481</v>
      </c>
      <c r="I9" s="4"/>
      <c r="J9" s="9">
        <v>478500</v>
      </c>
      <c r="K9" s="9"/>
    </row>
    <row r="10" spans="1:12" x14ac:dyDescent="0.3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2">
        <v>44443</v>
      </c>
      <c r="I10" s="12">
        <v>44211</v>
      </c>
      <c r="J10" s="9">
        <v>213000</v>
      </c>
      <c r="K10" s="9">
        <v>199500</v>
      </c>
    </row>
    <row r="11" spans="1:12" x14ac:dyDescent="0.3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2">
        <v>44497</v>
      </c>
      <c r="I11" s="12">
        <v>44609</v>
      </c>
      <c r="J11" s="9">
        <v>278500</v>
      </c>
      <c r="K11" s="9">
        <v>277000</v>
      </c>
    </row>
    <row r="12" spans="1:12" x14ac:dyDescent="0.3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2">
        <v>44418</v>
      </c>
      <c r="I12" s="4"/>
      <c r="J12" s="9">
        <v>278500</v>
      </c>
      <c r="K12" s="9"/>
    </row>
    <row r="13" spans="1:12" x14ac:dyDescent="0.3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2">
        <v>44498</v>
      </c>
      <c r="I13" s="12">
        <v>44589</v>
      </c>
      <c r="J13" s="9">
        <v>176500</v>
      </c>
      <c r="K13" s="9">
        <v>174300</v>
      </c>
    </row>
    <row r="14" spans="1:12" x14ac:dyDescent="0.35">
      <c r="A14" s="10" t="s">
        <v>25</v>
      </c>
      <c r="B14" s="10" t="s">
        <v>26</v>
      </c>
      <c r="C14" s="10" t="s">
        <v>70</v>
      </c>
      <c r="D14" s="4">
        <v>2</v>
      </c>
      <c r="E14" s="4">
        <v>2</v>
      </c>
      <c r="F14" s="4">
        <v>2</v>
      </c>
      <c r="G14" s="4" t="s">
        <v>6</v>
      </c>
      <c r="H14" s="12">
        <v>44515</v>
      </c>
      <c r="I14" s="12">
        <v>44573</v>
      </c>
      <c r="J14" s="11">
        <v>223750</v>
      </c>
      <c r="K14" s="11">
        <v>219750</v>
      </c>
    </row>
    <row r="15" spans="1:12" x14ac:dyDescent="0.3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2">
        <v>44514</v>
      </c>
      <c r="I15" s="4"/>
      <c r="J15" s="9">
        <v>135000</v>
      </c>
      <c r="K15" s="9"/>
    </row>
    <row r="16" spans="1:12" x14ac:dyDescent="0.3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2">
        <v>44565</v>
      </c>
      <c r="I16" s="12">
        <v>44579</v>
      </c>
      <c r="J16" s="9">
        <v>165900</v>
      </c>
      <c r="K16" s="9">
        <v>168000</v>
      </c>
    </row>
    <row r="17" spans="1:11" x14ac:dyDescent="0.3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2">
        <v>44453</v>
      </c>
      <c r="I17" s="12">
        <v>44557</v>
      </c>
      <c r="J17" s="9">
        <v>415500</v>
      </c>
      <c r="K17" s="9">
        <v>419500</v>
      </c>
    </row>
    <row r="18" spans="1:11" x14ac:dyDescent="0.3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2">
        <v>44453</v>
      </c>
      <c r="I18" s="12">
        <v>44557</v>
      </c>
      <c r="J18" s="9">
        <v>415500</v>
      </c>
      <c r="K18" s="9">
        <v>419500</v>
      </c>
    </row>
    <row r="19" spans="1:11" x14ac:dyDescent="0.3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2">
        <v>44453</v>
      </c>
      <c r="I19" s="12">
        <v>44557</v>
      </c>
      <c r="J19" s="9">
        <v>415500</v>
      </c>
      <c r="K19" s="9">
        <v>419500</v>
      </c>
    </row>
    <row r="20" spans="1:11" x14ac:dyDescent="0.3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2">
        <v>44449</v>
      </c>
      <c r="I20" s="12">
        <v>1460</v>
      </c>
      <c r="J20" s="9">
        <v>199500</v>
      </c>
      <c r="K20" s="9"/>
    </row>
    <row r="21" spans="1:11" x14ac:dyDescent="0.3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2">
        <v>44471</v>
      </c>
      <c r="I21" s="12">
        <v>44579</v>
      </c>
      <c r="J21" s="9">
        <v>175500</v>
      </c>
      <c r="K21" s="9">
        <v>169500</v>
      </c>
    </row>
    <row r="22" spans="1:11" x14ac:dyDescent="0.3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2">
        <v>44550</v>
      </c>
      <c r="I22" s="12">
        <v>44606</v>
      </c>
      <c r="J22" s="9">
        <v>319750</v>
      </c>
      <c r="K22" s="9">
        <v>315750</v>
      </c>
    </row>
    <row r="23" spans="1:11" x14ac:dyDescent="0.3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2">
        <v>44483</v>
      </c>
      <c r="I23" s="4"/>
      <c r="J23" s="9">
        <v>289500</v>
      </c>
      <c r="K23" s="9"/>
    </row>
    <row r="24" spans="1:11" x14ac:dyDescent="0.3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2">
        <v>44416</v>
      </c>
      <c r="I24" s="4"/>
      <c r="J24" s="9">
        <v>525750</v>
      </c>
      <c r="K24" s="9"/>
    </row>
    <row r="25" spans="1:11" x14ac:dyDescent="0.3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2">
        <v>44513</v>
      </c>
      <c r="I25" s="12">
        <v>44616</v>
      </c>
      <c r="J25" s="9">
        <v>495000</v>
      </c>
      <c r="K25" s="9">
        <v>495000</v>
      </c>
    </row>
    <row r="26" spans="1:11" x14ac:dyDescent="0.3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2">
        <v>44413</v>
      </c>
      <c r="I26" s="12">
        <v>44575</v>
      </c>
      <c r="J26" s="9">
        <v>369500</v>
      </c>
      <c r="K26" s="9">
        <v>362500</v>
      </c>
    </row>
    <row r="27" spans="1:11" x14ac:dyDescent="0.3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2">
        <v>44564</v>
      </c>
      <c r="I27" s="12">
        <v>1460</v>
      </c>
      <c r="J27" s="9">
        <v>176500</v>
      </c>
      <c r="K27" s="9"/>
    </row>
    <row r="28" spans="1:11" x14ac:dyDescent="0.3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2">
        <v>44440</v>
      </c>
      <c r="I28" s="4"/>
      <c r="J28" s="9">
        <v>142500</v>
      </c>
      <c r="K28" s="9"/>
    </row>
    <row r="29" spans="1:11" x14ac:dyDescent="0.3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2">
        <v>44453</v>
      </c>
      <c r="I29" s="12">
        <v>44557</v>
      </c>
      <c r="J29" s="9">
        <v>415500</v>
      </c>
      <c r="K29" s="9">
        <v>419500</v>
      </c>
    </row>
    <row r="30" spans="1:11" x14ac:dyDescent="0.3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2">
        <v>44485</v>
      </c>
      <c r="I30" s="12">
        <v>44604</v>
      </c>
      <c r="J30" s="9">
        <v>314250</v>
      </c>
      <c r="K30" s="9">
        <v>309750</v>
      </c>
    </row>
    <row r="31" spans="1:11" x14ac:dyDescent="0.3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2">
        <v>44430</v>
      </c>
      <c r="I31" s="4"/>
      <c r="J31" s="9">
        <v>178500</v>
      </c>
      <c r="K31" s="9"/>
    </row>
    <row r="32" spans="1:11" x14ac:dyDescent="0.3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2">
        <v>44571</v>
      </c>
      <c r="I32" s="12">
        <v>44616</v>
      </c>
      <c r="J32" s="9">
        <v>305000</v>
      </c>
      <c r="K32" s="9">
        <v>302750</v>
      </c>
    </row>
    <row r="33" spans="1:11" x14ac:dyDescent="0.3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2">
        <v>44499</v>
      </c>
      <c r="I33" s="12">
        <v>44606</v>
      </c>
      <c r="J33" s="9">
        <v>435000</v>
      </c>
      <c r="K33" s="9">
        <v>429500</v>
      </c>
    </row>
    <row r="34" spans="1:11" x14ac:dyDescent="0.3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2">
        <v>44449</v>
      </c>
      <c r="I34" s="12">
        <v>44606</v>
      </c>
      <c r="J34" s="9">
        <v>385000</v>
      </c>
      <c r="K34" s="9">
        <v>375500</v>
      </c>
    </row>
    <row r="35" spans="1:11" x14ac:dyDescent="0.3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2">
        <v>44443</v>
      </c>
      <c r="I35" s="12">
        <v>44485</v>
      </c>
      <c r="J35" s="9">
        <v>405000</v>
      </c>
      <c r="K35" s="9">
        <v>405000</v>
      </c>
    </row>
    <row r="36" spans="1:11" x14ac:dyDescent="0.3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2">
        <v>44409</v>
      </c>
      <c r="I36" s="12">
        <v>44529</v>
      </c>
      <c r="J36" s="9">
        <v>159000</v>
      </c>
      <c r="K36" s="9">
        <v>158500</v>
      </c>
    </row>
    <row r="37" spans="1:11" x14ac:dyDescent="0.3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2">
        <v>44413</v>
      </c>
      <c r="I37" s="12">
        <v>44540</v>
      </c>
      <c r="J37" s="9">
        <v>278000</v>
      </c>
      <c r="K37" s="9">
        <v>276500</v>
      </c>
    </row>
    <row r="38" spans="1:11" x14ac:dyDescent="0.3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2">
        <v>44379</v>
      </c>
      <c r="I38" s="12">
        <v>44616</v>
      </c>
      <c r="J38" s="9">
        <v>178600</v>
      </c>
      <c r="K38" s="9">
        <v>175500</v>
      </c>
    </row>
    <row r="39" spans="1:11" x14ac:dyDescent="0.3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2">
        <v>44431</v>
      </c>
      <c r="I39" s="12">
        <v>44577</v>
      </c>
      <c r="J39" s="9">
        <v>435000</v>
      </c>
      <c r="K39" s="9">
        <v>431750</v>
      </c>
    </row>
    <row r="40" spans="1:11" x14ac:dyDescent="0.3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2">
        <v>44395</v>
      </c>
      <c r="I40" s="12">
        <v>44540</v>
      </c>
      <c r="J40" s="9">
        <v>345500</v>
      </c>
      <c r="K40" s="9">
        <v>342500</v>
      </c>
    </row>
    <row r="41" spans="1:11" x14ac:dyDescent="0.3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2">
        <v>44430</v>
      </c>
      <c r="I41" s="12">
        <v>44548</v>
      </c>
      <c r="J41" s="9">
        <v>418500</v>
      </c>
      <c r="K41" s="9">
        <v>422500</v>
      </c>
    </row>
    <row r="42" spans="1:11" x14ac:dyDescent="0.3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2">
        <v>44515</v>
      </c>
      <c r="I42" s="4"/>
      <c r="J42" s="9">
        <v>375500</v>
      </c>
      <c r="K42" s="9"/>
    </row>
    <row r="43" spans="1:11" x14ac:dyDescent="0.3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2">
        <v>44471</v>
      </c>
      <c r="I43" s="4"/>
      <c r="J43" s="9">
        <v>169500</v>
      </c>
      <c r="K43" s="9"/>
    </row>
    <row r="44" spans="1:11" x14ac:dyDescent="0.3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2">
        <v>44453</v>
      </c>
      <c r="I44" s="12">
        <v>44557</v>
      </c>
      <c r="J44" s="9">
        <v>415500</v>
      </c>
      <c r="K44" s="9">
        <v>419500</v>
      </c>
    </row>
    <row r="45" spans="1:11" x14ac:dyDescent="0.3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2">
        <v>44422</v>
      </c>
      <c r="I45" s="12">
        <v>44587</v>
      </c>
      <c r="J45" s="9">
        <v>298500</v>
      </c>
      <c r="K45" s="9">
        <v>298500</v>
      </c>
    </row>
    <row r="46" spans="1:11" x14ac:dyDescent="0.3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2">
        <v>44387</v>
      </c>
      <c r="I46" s="12">
        <v>44582</v>
      </c>
      <c r="J46" s="9">
        <v>331750</v>
      </c>
      <c r="K46" s="9">
        <v>330500</v>
      </c>
    </row>
    <row r="47" spans="1:11" x14ac:dyDescent="0.3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2">
        <v>44410</v>
      </c>
      <c r="I47" s="12">
        <v>44540</v>
      </c>
      <c r="J47" s="9">
        <v>385500</v>
      </c>
      <c r="K47" s="9">
        <v>383500</v>
      </c>
    </row>
    <row r="48" spans="1:11" x14ac:dyDescent="0.3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2">
        <v>44464</v>
      </c>
      <c r="I48" s="12">
        <v>44594</v>
      </c>
      <c r="J48" s="9">
        <v>322500</v>
      </c>
      <c r="K48" s="9">
        <v>319500</v>
      </c>
    </row>
    <row r="49" spans="1:11" x14ac:dyDescent="0.3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2">
        <v>44412</v>
      </c>
      <c r="I49" s="12">
        <v>44515</v>
      </c>
      <c r="J49" s="9">
        <v>365500</v>
      </c>
      <c r="K49" s="9">
        <v>365500</v>
      </c>
    </row>
    <row r="50" spans="1:11" x14ac:dyDescent="0.3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2">
        <v>44390</v>
      </c>
      <c r="I50" s="4"/>
      <c r="J50" s="9">
        <v>312750</v>
      </c>
      <c r="K50" s="9"/>
    </row>
    <row r="51" spans="1:11" x14ac:dyDescent="0.3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2">
        <v>44370</v>
      </c>
      <c r="I51" s="12">
        <v>44564</v>
      </c>
      <c r="J51" s="9">
        <v>309500</v>
      </c>
      <c r="K51" s="9">
        <v>304500</v>
      </c>
    </row>
    <row r="52" spans="1:11" x14ac:dyDescent="0.3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2">
        <v>44483</v>
      </c>
      <c r="I52" s="12">
        <v>44596</v>
      </c>
      <c r="J52" s="9">
        <v>204500</v>
      </c>
      <c r="K52" s="9">
        <v>203900</v>
      </c>
    </row>
    <row r="53" spans="1:11" x14ac:dyDescent="0.3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2">
        <v>44380</v>
      </c>
      <c r="I53" s="4"/>
      <c r="J53" s="9">
        <v>225500</v>
      </c>
      <c r="K53" s="9"/>
    </row>
    <row r="54" spans="1:11" x14ac:dyDescent="0.3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2">
        <v>44453</v>
      </c>
      <c r="I54" s="12">
        <v>44557</v>
      </c>
      <c r="J54" s="9">
        <v>415500</v>
      </c>
      <c r="K54" s="9">
        <v>419500</v>
      </c>
    </row>
    <row r="55" spans="1:11" x14ac:dyDescent="0.3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2">
        <v>44439</v>
      </c>
      <c r="I55" s="12">
        <v>44473</v>
      </c>
      <c r="J55" s="9">
        <v>209500</v>
      </c>
      <c r="K55" s="9">
        <v>209500</v>
      </c>
    </row>
    <row r="56" spans="1:11" x14ac:dyDescent="0.3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2">
        <v>44480</v>
      </c>
      <c r="I56" s="12">
        <v>44575</v>
      </c>
      <c r="J56" s="9">
        <v>272500</v>
      </c>
      <c r="K56" s="9">
        <v>271500</v>
      </c>
    </row>
    <row r="57" spans="1:11" x14ac:dyDescent="0.3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2">
        <v>44498</v>
      </c>
      <c r="I57" s="12">
        <v>44616</v>
      </c>
      <c r="J57" s="9">
        <v>389500</v>
      </c>
      <c r="K57" s="9">
        <v>395000</v>
      </c>
    </row>
    <row r="58" spans="1:11" x14ac:dyDescent="0.3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2">
        <v>44352</v>
      </c>
      <c r="I58" s="12">
        <v>44583</v>
      </c>
      <c r="J58" s="9">
        <v>348500</v>
      </c>
      <c r="K58" s="9">
        <v>349500</v>
      </c>
    </row>
    <row r="59" spans="1:11" x14ac:dyDescent="0.3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2">
        <v>44592</v>
      </c>
      <c r="I59" s="12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E474-C428-4827-9506-D98D566B8A38}">
  <dimension ref="B4:C8"/>
  <sheetViews>
    <sheetView workbookViewId="0">
      <selection activeCell="B19" sqref="B19"/>
    </sheetView>
  </sheetViews>
  <sheetFormatPr defaultRowHeight="14.5" x14ac:dyDescent="0.35"/>
  <cols>
    <col min="2" max="2" width="14.54296875" bestFit="1" customWidth="1"/>
    <col min="3" max="3" width="11.1796875" bestFit="1" customWidth="1"/>
  </cols>
  <sheetData>
    <row r="4" spans="2:3" x14ac:dyDescent="0.35">
      <c r="B4" t="str" cm="1">
        <f t="array" ref="B4:B8">_xlfn._xlws.SORT(_xlfn.UNIQUE(Type,FALSE))</f>
        <v>Bungalow</v>
      </c>
      <c r="C4" t="str" cm="1">
        <f t="array" ref="C4:C7">_xlfn._xlws.SORT(_xlfn.UNIQUE(Location,FALSE))</f>
        <v>Countryside</v>
      </c>
    </row>
    <row r="5" spans="2:3" x14ac:dyDescent="0.35">
      <c r="B5" t="str">
        <v>Detatched</v>
      </c>
      <c r="C5" t="str">
        <v>Remote</v>
      </c>
    </row>
    <row r="6" spans="2:3" x14ac:dyDescent="0.35">
      <c r="B6" t="str">
        <v>Flat</v>
      </c>
      <c r="C6" t="str">
        <v>Town</v>
      </c>
    </row>
    <row r="7" spans="2:3" x14ac:dyDescent="0.35">
      <c r="B7" t="str">
        <v>Semi-detatched</v>
      </c>
      <c r="C7" t="str">
        <v>Village</v>
      </c>
    </row>
    <row r="8" spans="2:3" x14ac:dyDescent="0.35">
      <c r="B8" t="str">
        <v>Terraced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E648-52EB-4759-BE56-63D2837B8417}">
  <dimension ref="B3:L33"/>
  <sheetViews>
    <sheetView tabSelected="1" workbookViewId="0">
      <selection activeCell="H4" sqref="H4"/>
    </sheetView>
  </sheetViews>
  <sheetFormatPr defaultRowHeight="14.5" x14ac:dyDescent="0.35"/>
  <cols>
    <col min="2" max="2" width="21.6328125" bestFit="1" customWidth="1"/>
    <col min="3" max="3" width="12.81640625" customWidth="1"/>
    <col min="4" max="4" width="11.1796875" bestFit="1" customWidth="1"/>
  </cols>
  <sheetData>
    <row r="3" spans="2:12" x14ac:dyDescent="0.35">
      <c r="B3" s="13" t="s">
        <v>75</v>
      </c>
      <c r="C3" t="s">
        <v>26</v>
      </c>
    </row>
    <row r="4" spans="2:12" x14ac:dyDescent="0.35">
      <c r="B4" s="13" t="s">
        <v>76</v>
      </c>
      <c r="C4" t="s">
        <v>70</v>
      </c>
    </row>
    <row r="5" spans="2:12" x14ac:dyDescent="0.35">
      <c r="B5" s="13"/>
    </row>
    <row r="6" spans="2:12" x14ac:dyDescent="0.35">
      <c r="B6" s="13"/>
    </row>
    <row r="7" spans="2:12" ht="29" x14ac:dyDescent="0.35">
      <c r="B7" s="5" t="s">
        <v>0</v>
      </c>
      <c r="C7" s="5" t="s">
        <v>1</v>
      </c>
      <c r="D7" s="5" t="s">
        <v>67</v>
      </c>
      <c r="E7" s="6" t="s">
        <v>73</v>
      </c>
      <c r="F7" s="6" t="s">
        <v>74</v>
      </c>
      <c r="G7" s="6" t="s">
        <v>2</v>
      </c>
      <c r="H7" s="6" t="s">
        <v>3</v>
      </c>
      <c r="I7" s="6" t="s">
        <v>8</v>
      </c>
      <c r="J7" s="6" t="s">
        <v>9</v>
      </c>
      <c r="K7" s="8" t="s">
        <v>10</v>
      </c>
      <c r="L7" s="8" t="s">
        <v>11</v>
      </c>
    </row>
    <row r="8" spans="2:12" x14ac:dyDescent="0.35">
      <c r="B8" t="str" cm="1">
        <f t="array" ref="B8:L33">_xlfn._xlws.FILTER(Data,(Type=C3)+(Location=C4),"Blank")</f>
        <v>SK13 6DD</v>
      </c>
      <c r="C8" t="str">
        <v>Terraced</v>
      </c>
      <c r="D8" t="str">
        <v>Countryside</v>
      </c>
      <c r="E8">
        <v>2</v>
      </c>
      <c r="F8">
        <v>1</v>
      </c>
      <c r="G8">
        <v>2</v>
      </c>
      <c r="H8" t="str">
        <v>Small</v>
      </c>
      <c r="I8">
        <v>44492</v>
      </c>
      <c r="J8">
        <v>44548</v>
      </c>
      <c r="K8">
        <v>199000</v>
      </c>
      <c r="L8">
        <v>199000</v>
      </c>
    </row>
    <row r="9" spans="2:12" x14ac:dyDescent="0.35">
      <c r="B9" t="str">
        <v>SK14 9FT</v>
      </c>
      <c r="C9" t="str">
        <v>Bungalow</v>
      </c>
      <c r="D9" t="str">
        <v>Countryside</v>
      </c>
      <c r="E9">
        <v>2</v>
      </c>
      <c r="F9">
        <v>2</v>
      </c>
      <c r="G9">
        <v>2</v>
      </c>
      <c r="H9" t="str">
        <v>Medium</v>
      </c>
      <c r="I9">
        <v>44515</v>
      </c>
      <c r="J9">
        <v>44573</v>
      </c>
      <c r="K9">
        <v>223750</v>
      </c>
      <c r="L9">
        <v>219750</v>
      </c>
    </row>
    <row r="10" spans="2:12" x14ac:dyDescent="0.35">
      <c r="B10" t="str">
        <v>SK13 6YH</v>
      </c>
      <c r="C10" t="str">
        <v>Bungalow</v>
      </c>
      <c r="D10" t="str">
        <v>Countryside</v>
      </c>
      <c r="E10">
        <v>3</v>
      </c>
      <c r="F10">
        <v>2</v>
      </c>
      <c r="G10">
        <v>2</v>
      </c>
      <c r="H10" t="str">
        <v>Large</v>
      </c>
      <c r="I10">
        <v>44453</v>
      </c>
      <c r="J10">
        <v>44557</v>
      </c>
      <c r="K10">
        <v>415500</v>
      </c>
      <c r="L10">
        <v>419500</v>
      </c>
    </row>
    <row r="11" spans="2:12" x14ac:dyDescent="0.35">
      <c r="B11" t="str">
        <v>SK13 6YH</v>
      </c>
      <c r="C11" t="str">
        <v>Bungalow</v>
      </c>
      <c r="D11" t="str">
        <v>Countryside</v>
      </c>
      <c r="E11">
        <v>3</v>
      </c>
      <c r="F11">
        <v>2</v>
      </c>
      <c r="G11">
        <v>2</v>
      </c>
      <c r="H11" t="str">
        <v>Large</v>
      </c>
      <c r="I11">
        <v>44453</v>
      </c>
      <c r="J11">
        <v>44557</v>
      </c>
      <c r="K11">
        <v>415500</v>
      </c>
      <c r="L11">
        <v>419500</v>
      </c>
    </row>
    <row r="12" spans="2:12" x14ac:dyDescent="0.35">
      <c r="B12" t="str">
        <v>SK13 6YH</v>
      </c>
      <c r="C12" t="str">
        <v>Bungalow</v>
      </c>
      <c r="D12" t="str">
        <v>Countryside</v>
      </c>
      <c r="E12">
        <v>3</v>
      </c>
      <c r="F12">
        <v>2</v>
      </c>
      <c r="G12">
        <v>2</v>
      </c>
      <c r="H12" t="str">
        <v>Large</v>
      </c>
      <c r="I12">
        <v>44453</v>
      </c>
      <c r="J12">
        <v>44557</v>
      </c>
      <c r="K12">
        <v>415500</v>
      </c>
      <c r="L12">
        <v>419500</v>
      </c>
    </row>
    <row r="13" spans="2:12" x14ac:dyDescent="0.35">
      <c r="B13" t="str">
        <v>SK13 6YH</v>
      </c>
      <c r="C13" t="str">
        <v>Bungalow</v>
      </c>
      <c r="D13" t="str">
        <v>Town</v>
      </c>
      <c r="E13">
        <v>2</v>
      </c>
      <c r="F13">
        <v>2</v>
      </c>
      <c r="G13">
        <v>2</v>
      </c>
      <c r="H13" t="str">
        <v>Medium</v>
      </c>
      <c r="I13">
        <v>44449</v>
      </c>
      <c r="J13">
        <v>1460</v>
      </c>
      <c r="K13">
        <v>199500</v>
      </c>
      <c r="L13">
        <v>0</v>
      </c>
    </row>
    <row r="14" spans="2:12" x14ac:dyDescent="0.35">
      <c r="B14" t="str">
        <v>SK14 7JJ</v>
      </c>
      <c r="C14" t="str">
        <v>Semi-detatched</v>
      </c>
      <c r="D14" t="str">
        <v>Countryside</v>
      </c>
      <c r="E14">
        <v>3</v>
      </c>
      <c r="F14">
        <v>2</v>
      </c>
      <c r="G14">
        <v>2</v>
      </c>
      <c r="H14" t="str">
        <v>Medium</v>
      </c>
      <c r="I14">
        <v>44550</v>
      </c>
      <c r="J14">
        <v>44606</v>
      </c>
      <c r="K14">
        <v>319750</v>
      </c>
      <c r="L14">
        <v>315750</v>
      </c>
    </row>
    <row r="15" spans="2:12" x14ac:dyDescent="0.35">
      <c r="B15" t="str">
        <v>SK22 3LP</v>
      </c>
      <c r="C15" t="str">
        <v>Bungalow</v>
      </c>
      <c r="D15" t="str">
        <v>Remote</v>
      </c>
      <c r="E15">
        <v>3</v>
      </c>
      <c r="F15">
        <v>2</v>
      </c>
      <c r="G15">
        <v>2</v>
      </c>
      <c r="H15" t="str">
        <v>Large</v>
      </c>
      <c r="I15">
        <v>44483</v>
      </c>
      <c r="J15">
        <v>0</v>
      </c>
      <c r="K15">
        <v>289500</v>
      </c>
      <c r="L15">
        <v>0</v>
      </c>
    </row>
    <row r="16" spans="2:12" x14ac:dyDescent="0.35">
      <c r="B16" t="str">
        <v>SK13 4DT</v>
      </c>
      <c r="C16" t="str">
        <v>Detatched</v>
      </c>
      <c r="D16" t="str">
        <v>Countryside</v>
      </c>
      <c r="E16">
        <v>5</v>
      </c>
      <c r="F16">
        <v>2</v>
      </c>
      <c r="G16">
        <v>3</v>
      </c>
      <c r="H16" t="str">
        <v>Large</v>
      </c>
      <c r="I16">
        <v>44416</v>
      </c>
      <c r="J16">
        <v>0</v>
      </c>
      <c r="K16">
        <v>525750</v>
      </c>
      <c r="L16">
        <v>0</v>
      </c>
    </row>
    <row r="17" spans="2:12" x14ac:dyDescent="0.35">
      <c r="B17" t="str">
        <v>SK13 6YH</v>
      </c>
      <c r="C17" t="str">
        <v>Bungalow</v>
      </c>
      <c r="D17" t="str">
        <v>Countryside</v>
      </c>
      <c r="E17">
        <v>3</v>
      </c>
      <c r="F17">
        <v>2</v>
      </c>
      <c r="G17">
        <v>2</v>
      </c>
      <c r="H17" t="str">
        <v>Large</v>
      </c>
      <c r="I17">
        <v>44453</v>
      </c>
      <c r="J17">
        <v>44557</v>
      </c>
      <c r="K17">
        <v>415500</v>
      </c>
      <c r="L17">
        <v>419500</v>
      </c>
    </row>
    <row r="18" spans="2:12" x14ac:dyDescent="0.35">
      <c r="B18" t="str">
        <v>SK23 5WW</v>
      </c>
      <c r="C18" t="str">
        <v>Bungalow</v>
      </c>
      <c r="D18" t="str">
        <v>Countryside</v>
      </c>
      <c r="E18">
        <v>3</v>
      </c>
      <c r="F18">
        <v>2</v>
      </c>
      <c r="G18">
        <v>2</v>
      </c>
      <c r="H18" t="str">
        <v>Large</v>
      </c>
      <c r="I18">
        <v>44485</v>
      </c>
      <c r="J18">
        <v>44604</v>
      </c>
      <c r="K18">
        <v>314250</v>
      </c>
      <c r="L18">
        <v>309750</v>
      </c>
    </row>
    <row r="19" spans="2:12" x14ac:dyDescent="0.35">
      <c r="B19" t="str">
        <v>SK13 8FS</v>
      </c>
      <c r="C19" t="str">
        <v>Terraced</v>
      </c>
      <c r="D19" t="str">
        <v>Countryside</v>
      </c>
      <c r="E19">
        <v>2</v>
      </c>
      <c r="F19">
        <v>1</v>
      </c>
      <c r="G19">
        <v>1</v>
      </c>
      <c r="H19" t="str">
        <v>Small</v>
      </c>
      <c r="I19">
        <v>44430</v>
      </c>
      <c r="J19">
        <v>0</v>
      </c>
      <c r="K19">
        <v>178500</v>
      </c>
      <c r="L19">
        <v>0</v>
      </c>
    </row>
    <row r="20" spans="2:12" x14ac:dyDescent="0.35">
      <c r="B20" t="str">
        <v>SK13 5EE</v>
      </c>
      <c r="C20" t="str">
        <v>Semi-detatched</v>
      </c>
      <c r="D20" t="str">
        <v>Countryside</v>
      </c>
      <c r="E20">
        <v>3</v>
      </c>
      <c r="F20">
        <v>2</v>
      </c>
      <c r="G20">
        <v>1</v>
      </c>
      <c r="H20" t="str">
        <v>Medium</v>
      </c>
      <c r="I20">
        <v>44449</v>
      </c>
      <c r="J20">
        <v>44606</v>
      </c>
      <c r="K20">
        <v>385000</v>
      </c>
      <c r="L20">
        <v>375500</v>
      </c>
    </row>
    <row r="21" spans="2:12" x14ac:dyDescent="0.35">
      <c r="B21" t="str">
        <v>SK13 6LK</v>
      </c>
      <c r="C21" t="str">
        <v>Detatched</v>
      </c>
      <c r="D21" t="str">
        <v>Countryside</v>
      </c>
      <c r="E21">
        <v>4</v>
      </c>
      <c r="F21">
        <v>2</v>
      </c>
      <c r="G21">
        <v>2</v>
      </c>
      <c r="H21" t="str">
        <v>Large</v>
      </c>
      <c r="I21">
        <v>44431</v>
      </c>
      <c r="J21">
        <v>44577</v>
      </c>
      <c r="K21">
        <v>435000</v>
      </c>
      <c r="L21">
        <v>431750</v>
      </c>
    </row>
    <row r="22" spans="2:12" x14ac:dyDescent="0.35">
      <c r="B22" t="str">
        <v>SK13 9PF</v>
      </c>
      <c r="C22" t="str">
        <v>Semi-detatched</v>
      </c>
      <c r="D22" t="str">
        <v>Countryside</v>
      </c>
      <c r="E22">
        <v>3</v>
      </c>
      <c r="F22">
        <v>2</v>
      </c>
      <c r="G22">
        <v>2</v>
      </c>
      <c r="H22" t="str">
        <v>Medium</v>
      </c>
      <c r="I22">
        <v>44395</v>
      </c>
      <c r="J22">
        <v>44540</v>
      </c>
      <c r="K22">
        <v>345500</v>
      </c>
      <c r="L22">
        <v>342500</v>
      </c>
    </row>
    <row r="23" spans="2:12" x14ac:dyDescent="0.35">
      <c r="B23" t="str">
        <v>SK14 6DH</v>
      </c>
      <c r="C23" t="str">
        <v>Semi-detatched</v>
      </c>
      <c r="D23" t="str">
        <v>Countryside</v>
      </c>
      <c r="E23">
        <v>3</v>
      </c>
      <c r="F23">
        <v>2</v>
      </c>
      <c r="G23">
        <v>2</v>
      </c>
      <c r="H23" t="str">
        <v>Medium</v>
      </c>
      <c r="I23">
        <v>44515</v>
      </c>
      <c r="J23">
        <v>0</v>
      </c>
      <c r="K23">
        <v>375500</v>
      </c>
      <c r="L23">
        <v>0</v>
      </c>
    </row>
    <row r="24" spans="2:12" x14ac:dyDescent="0.35">
      <c r="B24" t="str">
        <v>SK13 6YH</v>
      </c>
      <c r="C24" t="str">
        <v>Bungalow</v>
      </c>
      <c r="D24" t="str">
        <v>Countryside</v>
      </c>
      <c r="E24">
        <v>3</v>
      </c>
      <c r="F24">
        <v>2</v>
      </c>
      <c r="G24">
        <v>2</v>
      </c>
      <c r="H24" t="str">
        <v>Large</v>
      </c>
      <c r="I24">
        <v>44453</v>
      </c>
      <c r="J24">
        <v>44557</v>
      </c>
      <c r="K24">
        <v>415500</v>
      </c>
      <c r="L24">
        <v>419500</v>
      </c>
    </row>
    <row r="25" spans="2:12" x14ac:dyDescent="0.35">
      <c r="B25" t="str">
        <v>SK13 4AK</v>
      </c>
      <c r="C25" t="str">
        <v>Bungalow</v>
      </c>
      <c r="D25" t="str">
        <v>Countryside</v>
      </c>
      <c r="E25">
        <v>3</v>
      </c>
      <c r="F25">
        <v>2</v>
      </c>
      <c r="G25">
        <v>2</v>
      </c>
      <c r="H25" t="str">
        <v>Large</v>
      </c>
      <c r="I25">
        <v>44422</v>
      </c>
      <c r="J25">
        <v>44587</v>
      </c>
      <c r="K25">
        <v>298500</v>
      </c>
      <c r="L25">
        <v>298500</v>
      </c>
    </row>
    <row r="26" spans="2:12" x14ac:dyDescent="0.35">
      <c r="B26" t="str">
        <v>SK13 4XC</v>
      </c>
      <c r="C26" t="str">
        <v>Semi-detatched</v>
      </c>
      <c r="D26" t="str">
        <v>Countryside</v>
      </c>
      <c r="E26">
        <v>3</v>
      </c>
      <c r="F26">
        <v>2</v>
      </c>
      <c r="G26">
        <v>2</v>
      </c>
      <c r="H26" t="str">
        <v>Medium</v>
      </c>
      <c r="I26">
        <v>44387</v>
      </c>
      <c r="J26">
        <v>44582</v>
      </c>
      <c r="K26">
        <v>331750</v>
      </c>
      <c r="L26">
        <v>330500</v>
      </c>
    </row>
    <row r="27" spans="2:12" x14ac:dyDescent="0.35">
      <c r="B27" t="str">
        <v>SK13 7PJ</v>
      </c>
      <c r="C27" t="str">
        <v>Semi-detatched</v>
      </c>
      <c r="D27" t="str">
        <v>Countryside</v>
      </c>
      <c r="E27">
        <v>3</v>
      </c>
      <c r="F27">
        <v>2</v>
      </c>
      <c r="G27">
        <v>2</v>
      </c>
      <c r="H27" t="str">
        <v>Medium</v>
      </c>
      <c r="I27">
        <v>44464</v>
      </c>
      <c r="J27">
        <v>44594</v>
      </c>
      <c r="K27">
        <v>322500</v>
      </c>
      <c r="L27">
        <v>319500</v>
      </c>
    </row>
    <row r="28" spans="2:12" x14ac:dyDescent="0.35">
      <c r="B28" t="str">
        <v>SK22 1XV</v>
      </c>
      <c r="C28" t="str">
        <v>Terraced</v>
      </c>
      <c r="D28" t="str">
        <v>Countryside</v>
      </c>
      <c r="E28">
        <v>2</v>
      </c>
      <c r="F28">
        <v>1</v>
      </c>
      <c r="G28">
        <v>1</v>
      </c>
      <c r="H28" t="str">
        <v>Small</v>
      </c>
      <c r="I28">
        <v>44483</v>
      </c>
      <c r="J28">
        <v>44596</v>
      </c>
      <c r="K28">
        <v>204500</v>
      </c>
      <c r="L28">
        <v>203900</v>
      </c>
    </row>
    <row r="29" spans="2:12" x14ac:dyDescent="0.35">
      <c r="B29" t="str">
        <v>SK13 6YH</v>
      </c>
      <c r="C29" t="str">
        <v>Bungalow</v>
      </c>
      <c r="D29" t="str">
        <v>Countryside</v>
      </c>
      <c r="E29">
        <v>3</v>
      </c>
      <c r="F29">
        <v>2</v>
      </c>
      <c r="G29">
        <v>2</v>
      </c>
      <c r="H29" t="str">
        <v>Large</v>
      </c>
      <c r="I29">
        <v>44453</v>
      </c>
      <c r="J29">
        <v>44557</v>
      </c>
      <c r="K29">
        <v>415500</v>
      </c>
      <c r="L29">
        <v>419500</v>
      </c>
    </row>
    <row r="30" spans="2:12" x14ac:dyDescent="0.35">
      <c r="B30" t="str">
        <v>SK13 6HH</v>
      </c>
      <c r="C30" t="str">
        <v>Semi-detatched</v>
      </c>
      <c r="D30" t="str">
        <v>Countryside</v>
      </c>
      <c r="E30">
        <v>2</v>
      </c>
      <c r="F30">
        <v>2</v>
      </c>
      <c r="G30">
        <v>2</v>
      </c>
      <c r="H30" t="str">
        <v>Medium</v>
      </c>
      <c r="I30">
        <v>44439</v>
      </c>
      <c r="J30">
        <v>44473</v>
      </c>
      <c r="K30">
        <v>209500</v>
      </c>
      <c r="L30">
        <v>209500</v>
      </c>
    </row>
    <row r="31" spans="2:12" x14ac:dyDescent="0.35">
      <c r="B31" t="str">
        <v>SK14 8GP</v>
      </c>
      <c r="C31" t="str">
        <v>Bungalow</v>
      </c>
      <c r="D31" t="str">
        <v>Remote</v>
      </c>
      <c r="E31">
        <v>3</v>
      </c>
      <c r="F31">
        <v>2</v>
      </c>
      <c r="G31">
        <v>2</v>
      </c>
      <c r="H31" t="str">
        <v>Large</v>
      </c>
      <c r="I31">
        <v>44480</v>
      </c>
      <c r="J31">
        <v>44575</v>
      </c>
      <c r="K31">
        <v>272500</v>
      </c>
      <c r="L31">
        <v>271500</v>
      </c>
    </row>
    <row r="32" spans="2:12" x14ac:dyDescent="0.35">
      <c r="B32" t="str">
        <v>SK15 6YW</v>
      </c>
      <c r="C32" t="str">
        <v>Detatched</v>
      </c>
      <c r="D32" t="str">
        <v>Countryside</v>
      </c>
      <c r="E32">
        <v>4</v>
      </c>
      <c r="F32">
        <v>2</v>
      </c>
      <c r="G32">
        <v>2</v>
      </c>
      <c r="H32" t="str">
        <v>Large</v>
      </c>
      <c r="I32">
        <v>44498</v>
      </c>
      <c r="J32">
        <v>44616</v>
      </c>
      <c r="K32">
        <v>389500</v>
      </c>
      <c r="L32">
        <v>395000</v>
      </c>
    </row>
    <row r="33" spans="2:12" x14ac:dyDescent="0.35">
      <c r="B33" t="str">
        <v>SK13 4RF</v>
      </c>
      <c r="C33" t="str">
        <v>Bungalow</v>
      </c>
      <c r="D33" t="str">
        <v>Town</v>
      </c>
      <c r="E33">
        <v>2</v>
      </c>
      <c r="F33">
        <v>1</v>
      </c>
      <c r="G33">
        <v>1</v>
      </c>
      <c r="H33" t="str">
        <v>Small</v>
      </c>
      <c r="I33">
        <v>44592</v>
      </c>
      <c r="J33">
        <v>44634</v>
      </c>
      <c r="K33">
        <v>299950</v>
      </c>
      <c r="L33">
        <v>299950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766BEB-0C3E-45B2-9FFC-51B224EF514E}">
          <x14:formula1>
            <xm:f>Sheet1!$B$4:$B$8</xm:f>
          </x14:formula1>
          <xm:sqref>C3</xm:sqref>
        </x14:dataValidation>
        <x14:dataValidation type="list" allowBlank="1" showInputMessage="1" showErrorMessage="1" xr:uid="{6BBE4283-790C-424B-BAC0-5F48A1595686}">
          <x14:formula1>
            <xm:f>Sheet1!$C$4:$C$7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Properties</vt:lpstr>
      <vt:lpstr>Sheet1</vt:lpstr>
      <vt:lpstr>Filter</vt:lpstr>
      <vt:lpstr>AskingPrice</vt:lpstr>
      <vt:lpstr>Bathrooms</vt:lpstr>
      <vt:lpstr>Bedrooms</vt:lpstr>
      <vt:lpstr>Data</vt:lpstr>
      <vt:lpstr>DateOnMarket</vt:lpstr>
      <vt:lpstr>DateSold</vt:lpstr>
      <vt:lpstr>GardenSize</vt:lpstr>
      <vt:lpstr>Location</vt:lpstr>
      <vt:lpstr>PostCode</vt:lpstr>
      <vt:lpstr>ReceptionRooms</vt:lpstr>
      <vt:lpstr>SalePrice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2018-02-26T22:07:37Z</dcterms:created>
  <dcterms:modified xsi:type="dcterms:W3CDTF">2025-12-18T08:22:51Z</dcterms:modified>
</cp:coreProperties>
</file>