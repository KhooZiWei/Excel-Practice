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36\"/>
    </mc:Choice>
  </mc:AlternateContent>
  <xr:revisionPtr revIDLastSave="0" documentId="13_ncr:1_{8C21D57D-CB57-41C7-ABAA-8EF57B1D109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ashFlow">Calculations!#REF!</definedName>
    <definedName name="CashflowIrr">Calculations!$E$13:$O$13</definedName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InitialOutfits">Inputs!$E$19</definedName>
    <definedName name="CstInitialSinging">Inputs!$E$18</definedName>
    <definedName name="CstLivingDaily">Inputs!$F$10:$O$10</definedName>
    <definedName name="CstLivingLoose">Inputs!$F$11:$O$11</definedName>
    <definedName name="DiscountRate">Inputs!$E$22</definedName>
    <definedName name="ModelYear">Inputs!$F$3:$O$3</definedName>
    <definedName name="NetCashIn">Calculations!#REF!</definedName>
    <definedName name="NetCashInitial">Calculations!$E$12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4" l="1"/>
  <c r="E12" i="5"/>
  <c r="E13" i="5" s="1"/>
  <c r="G8" i="5"/>
  <c r="H8" i="5"/>
  <c r="I8" i="5"/>
  <c r="J8" i="5"/>
  <c r="K8" i="5"/>
  <c r="L8" i="5"/>
  <c r="M8" i="5"/>
  <c r="N8" i="5"/>
  <c r="O8" i="5"/>
  <c r="F8" i="5"/>
  <c r="G7" i="5"/>
  <c r="H7" i="5"/>
  <c r="I7" i="5"/>
  <c r="J7" i="5"/>
  <c r="K7" i="5"/>
  <c r="L7" i="5"/>
  <c r="M7" i="5"/>
  <c r="N7" i="5"/>
  <c r="O7" i="5"/>
  <c r="F7" i="5"/>
  <c r="G6" i="5"/>
  <c r="I6" i="5"/>
  <c r="J6" i="5"/>
  <c r="K6" i="5"/>
  <c r="L6" i="5"/>
  <c r="M6" i="5"/>
  <c r="N6" i="5"/>
  <c r="O6" i="5"/>
  <c r="F6" i="5"/>
  <c r="M9" i="5" l="1"/>
  <c r="M13" i="5" s="1"/>
  <c r="I9" i="5"/>
  <c r="I13" i="5" s="1"/>
  <c r="N9" i="5"/>
  <c r="N13" i="5" s="1"/>
  <c r="J9" i="5"/>
  <c r="J13" i="5" s="1"/>
  <c r="F9" i="5"/>
  <c r="O9" i="5"/>
  <c r="O13" i="5" s="1"/>
  <c r="K9" i="5"/>
  <c r="K13" i="5" s="1"/>
  <c r="G9" i="5"/>
  <c r="G13" i="5" s="1"/>
  <c r="L9" i="5"/>
  <c r="L13" i="5" s="1"/>
  <c r="H6" i="5"/>
  <c r="H9" i="5" s="1"/>
  <c r="H13" i="5" s="1"/>
  <c r="F3" i="2"/>
  <c r="G3" i="2" s="1"/>
  <c r="F13" i="5" l="1"/>
  <c r="E17" i="5" s="1"/>
  <c r="E16" i="5"/>
  <c r="H3" i="2"/>
  <c r="F3" i="5"/>
  <c r="G3" i="5" s="1"/>
  <c r="H3" i="5" s="1"/>
  <c r="I3" i="5" s="1"/>
  <c r="J3" i="5" s="1"/>
  <c r="K3" i="5" s="1"/>
  <c r="L3" i="5" s="1"/>
  <c r="M3" i="5" s="1"/>
  <c r="N3" i="5" s="1"/>
  <c r="O3" i="5" s="1"/>
  <c r="I3" i="2" l="1"/>
  <c r="J3" i="2" l="1"/>
  <c r="K3" i="2" l="1"/>
  <c r="L3" i="2" l="1"/>
  <c r="M3" i="2" l="1"/>
  <c r="N3" i="2" l="1"/>
  <c r="O3" i="2" l="1"/>
</calcChain>
</file>

<file path=xl/sharedStrings.xml><?xml version="1.0" encoding="utf-8"?>
<sst xmlns="http://schemas.openxmlformats.org/spreadsheetml/2006/main" count="71" uniqueCount="51">
  <si>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</si>
  <si>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</si>
  <si>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</si>
  <si>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</si>
  <si>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</si>
  <si>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</si>
  <si>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</si>
  <si>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</si>
  <si>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</si>
  <si>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</si>
  <si>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</si>
  <si>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</si>
  <si>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</si>
  <si>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</si>
  <si>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</si>
  <si>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</si>
  <si>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</si>
  <si>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</si>
  <si>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</si>
  <si>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</si>
  <si>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</si>
  <si>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</si>
  <si>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</si>
  <si>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</si>
  <si>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</si>
  <si>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</si>
  <si>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</si>
  <si>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</si>
  <si>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</si>
  <si>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</si>
  <si>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</si>
  <si>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</si>
  <si>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</si>
  <si>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</si>
  <si>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</si>
  <si>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Initial investment</t>
  </si>
  <si>
    <t>Singing lessons</t>
  </si>
  <si>
    <t>Sequinned outfits</t>
  </si>
  <si>
    <t>CstInitialSinging</t>
  </si>
  <si>
    <t>CstInitialOutfits</t>
  </si>
  <si>
    <t>Cashflow</t>
  </si>
  <si>
    <t>NetCashInitial</t>
  </si>
  <si>
    <t>Rates</t>
  </si>
  <si>
    <t>Discount rate</t>
  </si>
  <si>
    <t>DiscountRate</t>
  </si>
  <si>
    <t>Investment appraisal</t>
  </si>
  <si>
    <t>Net present value</t>
  </si>
  <si>
    <t>Internal rate of return</t>
  </si>
  <si>
    <t>Cashflow for IRR</t>
  </si>
  <si>
    <t>CashflowIrr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</si>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</sst>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165" fontId="1" fillId="5" borderId="1" xfId="8">
      <alignment horizontal="right" indent="1"/>
    </xf>
    <xf numFmtId="37" fontId="1" fillId="0" borderId="0" xfId="9"/>
    <xf numFmtId="37" fontId="1" fillId="0" borderId="11" xfId="9" applyBorder="1"/>
    <xf numFmtId="0" fontId="5" fillId="6" borderId="0" xfId="3" applyFill="1"/>
    <xf numFmtId="0" fontId="2" fillId="6" borderId="0" xfId="4" applyFill="1"/>
    <xf numFmtId="0" fontId="0" fillId="6" borderId="0" xfId="0" applyFill="1"/>
    <xf numFmtId="0" fontId="2" fillId="6" borderId="0" xfId="7" applyFill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37" fontId="1" fillId="7" borderId="0" xfId="9" applyFill="1"/>
    <xf numFmtId="10" fontId="1" fillId="7" borderId="0" xfId="10" applyNumberFormat="1" applyFill="1"/>
  </cellXfs>
  <cellStyles count="11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Per cent" xfId="10" builtinId="5"/>
    <cellStyle name="RangeName" xfId="6" xr:uid="{00000000-0005-0000-0000-000009000000}"/>
    <cellStyle name="Units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4" sqref="D14"/>
    </sheetView>
  </sheetViews>
  <sheetFormatPr defaultColWidth="0" defaultRowHeight="14.5" zeroHeight="1" x14ac:dyDescent="0.35"/>
  <cols>
    <col min="1" max="1" width="4.08984375" customWidth="1"/>
    <col min="2" max="2" width="3.453125" customWidth="1"/>
    <col min="3" max="3" width="16.453125" customWidth="1"/>
    <col min="4" max="4" width="29.90625" customWidth="1"/>
    <col min="5" max="5" width="3.54296875" customWidth="1"/>
    <col min="6" max="6" width="5" customWidth="1"/>
    <col min="7" max="16384" width="9.08984375" hidden="1"/>
  </cols>
  <sheetData>
    <row r="1" spans="2:5" ht="24.7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13" t="s">
        <v>50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2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18" sqref="B18"/>
    </sheetView>
  </sheetViews>
  <sheetFormatPr defaultRowHeight="14.5" x14ac:dyDescent="0.35"/>
  <cols>
    <col min="2" max="2" width="20.453125" style="17" customWidth="1"/>
    <col min="3" max="3" width="5.6328125" customWidth="1"/>
    <col min="4" max="4" width="9.08984375" style="20"/>
    <col min="6" max="6" width="9.08984375" customWidth="1"/>
    <col min="16" max="16" width="14" style="19" bestFit="1" customWidth="1"/>
  </cols>
  <sheetData>
    <row r="2" spans="1:16" x14ac:dyDescent="0.35">
      <c r="F2" s="28" t="s">
        <v>8</v>
      </c>
      <c r="G2" s="29"/>
      <c r="H2" s="29"/>
      <c r="I2" s="29"/>
      <c r="J2" s="29"/>
      <c r="K2" s="29"/>
      <c r="L2" s="29"/>
      <c r="M2" s="29"/>
      <c r="N2" s="29"/>
      <c r="O2" s="30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10</v>
      </c>
    </row>
    <row r="6" spans="1:16" x14ac:dyDescent="0.35">
      <c r="B6" s="17" t="s">
        <v>11</v>
      </c>
      <c r="D6" s="20" t="s">
        <v>12</v>
      </c>
      <c r="F6" s="18">
        <v>400</v>
      </c>
      <c r="G6" s="18">
        <v>375</v>
      </c>
      <c r="H6" s="18">
        <v>350</v>
      </c>
      <c r="I6" s="18">
        <v>325</v>
      </c>
      <c r="J6" s="18">
        <v>300</v>
      </c>
      <c r="K6" s="18">
        <v>275</v>
      </c>
      <c r="L6" s="18">
        <v>250</v>
      </c>
      <c r="M6" s="18">
        <v>225</v>
      </c>
      <c r="N6" s="18">
        <v>200</v>
      </c>
      <c r="O6" s="18">
        <v>175</v>
      </c>
      <c r="P6" s="19" t="s">
        <v>13</v>
      </c>
    </row>
    <row r="7" spans="1:16" x14ac:dyDescent="0.35">
      <c r="B7" s="17" t="s">
        <v>14</v>
      </c>
      <c r="D7" s="20" t="s">
        <v>12</v>
      </c>
      <c r="F7" s="18">
        <v>500</v>
      </c>
      <c r="G7" s="18">
        <v>460</v>
      </c>
      <c r="H7" s="18">
        <v>420</v>
      </c>
      <c r="I7" s="18">
        <v>380</v>
      </c>
      <c r="J7" s="18">
        <v>340</v>
      </c>
      <c r="K7" s="18">
        <v>300</v>
      </c>
      <c r="L7" s="18">
        <v>260</v>
      </c>
      <c r="M7" s="18">
        <v>220</v>
      </c>
      <c r="N7" s="18">
        <v>180</v>
      </c>
      <c r="O7" s="18">
        <v>140</v>
      </c>
      <c r="P7" s="19" t="s">
        <v>15</v>
      </c>
    </row>
    <row r="9" spans="1:16" x14ac:dyDescent="0.35">
      <c r="A9" s="16" t="s">
        <v>18</v>
      </c>
    </row>
    <row r="10" spans="1:16" x14ac:dyDescent="0.3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3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35">
      <c r="A13" s="16" t="s">
        <v>19</v>
      </c>
    </row>
    <row r="14" spans="1:16" x14ac:dyDescent="0.3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35">
      <c r="B15" s="17" t="s">
        <v>24</v>
      </c>
      <c r="D15" s="20" t="s">
        <v>21</v>
      </c>
      <c r="F15" s="21">
        <v>0.04</v>
      </c>
      <c r="G15" s="21">
        <v>4.4999999999999998E-2</v>
      </c>
      <c r="H15" s="21">
        <v>0.05</v>
      </c>
      <c r="I15" s="21">
        <v>5.5E-2</v>
      </c>
      <c r="J15" s="21">
        <v>0.06</v>
      </c>
      <c r="K15" s="21">
        <v>6.5000000000000002E-2</v>
      </c>
      <c r="L15" s="21">
        <v>7.0000000000000007E-2</v>
      </c>
      <c r="M15" s="21">
        <v>7.4999999999999997E-2</v>
      </c>
      <c r="N15" s="21">
        <v>0.08</v>
      </c>
      <c r="O15" s="21">
        <v>8.5000000000000006E-2</v>
      </c>
      <c r="P15" s="19" t="s">
        <v>26</v>
      </c>
    </row>
    <row r="17" spans="1:6" x14ac:dyDescent="0.35">
      <c r="A17" s="24" t="s">
        <v>35</v>
      </c>
      <c r="B17" s="25"/>
      <c r="C17" s="26"/>
      <c r="D17" s="27"/>
    </row>
    <row r="18" spans="1:6" x14ac:dyDescent="0.35">
      <c r="A18" s="26"/>
      <c r="B18" s="25" t="s">
        <v>36</v>
      </c>
      <c r="C18" s="26"/>
      <c r="D18" s="27" t="s">
        <v>12</v>
      </c>
      <c r="E18" s="18">
        <v>-100</v>
      </c>
      <c r="F18" s="19" t="s">
        <v>38</v>
      </c>
    </row>
    <row r="19" spans="1:6" x14ac:dyDescent="0.35">
      <c r="A19" s="26"/>
      <c r="B19" s="25" t="s">
        <v>37</v>
      </c>
      <c r="C19" s="26"/>
      <c r="D19" s="27" t="s">
        <v>12</v>
      </c>
      <c r="E19" s="18">
        <v>-120</v>
      </c>
      <c r="F19" s="19" t="s">
        <v>39</v>
      </c>
    </row>
    <row r="20" spans="1:6" x14ac:dyDescent="0.35">
      <c r="A20" s="26"/>
      <c r="B20" s="25"/>
      <c r="C20" s="26"/>
      <c r="D20" s="27"/>
    </row>
    <row r="21" spans="1:6" x14ac:dyDescent="0.35">
      <c r="A21" s="26" t="s">
        <v>42</v>
      </c>
      <c r="B21" s="25"/>
      <c r="C21" s="26"/>
      <c r="D21" s="27"/>
    </row>
    <row r="22" spans="1:6" x14ac:dyDescent="0.35">
      <c r="A22" s="26"/>
      <c r="B22" s="25" t="s">
        <v>43</v>
      </c>
      <c r="C22" s="26"/>
      <c r="D22" s="27" t="s">
        <v>21</v>
      </c>
      <c r="E22" s="21">
        <v>0.08</v>
      </c>
      <c r="F22" s="19" t="s">
        <v>44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7"/>
  <sheetViews>
    <sheetView tabSelected="1" workbookViewId="0">
      <selection activeCell="J19" sqref="J19"/>
    </sheetView>
  </sheetViews>
  <sheetFormatPr defaultRowHeight="14.5" x14ac:dyDescent="0.35"/>
  <cols>
    <col min="2" max="2" width="14.453125" style="17" bestFit="1" customWidth="1"/>
    <col min="4" max="4" width="9.08984375" style="20"/>
    <col min="6" max="6" width="10.54296875" bestFit="1" customWidth="1"/>
    <col min="16" max="16" width="12.90625" style="19" customWidth="1"/>
  </cols>
  <sheetData>
    <row r="2" spans="1:16" x14ac:dyDescent="0.35">
      <c r="F2" s="28" t="s">
        <v>8</v>
      </c>
      <c r="G2" s="29"/>
      <c r="H2" s="29"/>
      <c r="I2" s="29"/>
      <c r="J2" s="29"/>
      <c r="K2" s="29"/>
      <c r="L2" s="29"/>
      <c r="M2" s="29"/>
      <c r="N2" s="29"/>
      <c r="O2" s="30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30</v>
      </c>
    </row>
    <row r="6" spans="1:16" x14ac:dyDescent="0.35">
      <c r="B6" s="17" t="s">
        <v>27</v>
      </c>
      <c r="D6" s="20" t="s">
        <v>12</v>
      </c>
      <c r="F6" s="22">
        <f t="shared" ref="F6:O6" si="1">RevDownloads+RevTouring</f>
        <v>900</v>
      </c>
      <c r="G6" s="22">
        <f t="shared" si="1"/>
        <v>835</v>
      </c>
      <c r="H6" s="22">
        <f t="shared" si="1"/>
        <v>770</v>
      </c>
      <c r="I6" s="22">
        <f t="shared" si="1"/>
        <v>705</v>
      </c>
      <c r="J6" s="22">
        <f t="shared" si="1"/>
        <v>640</v>
      </c>
      <c r="K6" s="22">
        <f t="shared" si="1"/>
        <v>575</v>
      </c>
      <c r="L6" s="22">
        <f t="shared" si="1"/>
        <v>510</v>
      </c>
      <c r="M6" s="22">
        <f t="shared" si="1"/>
        <v>445</v>
      </c>
      <c r="N6" s="22">
        <f t="shared" si="1"/>
        <v>380</v>
      </c>
      <c r="O6" s="22">
        <f t="shared" si="1"/>
        <v>315</v>
      </c>
      <c r="P6" s="19" t="s">
        <v>31</v>
      </c>
    </row>
    <row r="7" spans="1:16" x14ac:dyDescent="0.35">
      <c r="B7" s="17" t="s">
        <v>28</v>
      </c>
      <c r="D7" s="20" t="s">
        <v>12</v>
      </c>
      <c r="F7" s="22">
        <f t="shared" ref="F7:O7" si="2">CstLivingDaily+CstLivingLoose</f>
        <v>-500</v>
      </c>
      <c r="G7" s="22">
        <f t="shared" si="2"/>
        <v>-500</v>
      </c>
      <c r="H7" s="22">
        <f t="shared" si="2"/>
        <v>-500</v>
      </c>
      <c r="I7" s="22">
        <f t="shared" si="2"/>
        <v>-500</v>
      </c>
      <c r="J7" s="22">
        <f t="shared" si="2"/>
        <v>-500</v>
      </c>
      <c r="K7" s="22">
        <f t="shared" si="2"/>
        <v>-500</v>
      </c>
      <c r="L7" s="22">
        <f t="shared" si="2"/>
        <v>-500</v>
      </c>
      <c r="M7" s="22">
        <f t="shared" si="2"/>
        <v>-500</v>
      </c>
      <c r="N7" s="22">
        <f t="shared" si="2"/>
        <v>-500</v>
      </c>
      <c r="O7" s="22">
        <f t="shared" si="2"/>
        <v>-500</v>
      </c>
      <c r="P7" s="19" t="s">
        <v>32</v>
      </c>
    </row>
    <row r="8" spans="1:16" x14ac:dyDescent="0.35">
      <c r="B8" s="17" t="s">
        <v>29</v>
      </c>
      <c r="D8" s="20" t="s">
        <v>12</v>
      </c>
      <c r="F8" s="22">
        <f t="shared" ref="F8:O8" si="3">CstHousingPrice*CstHousingRate</f>
        <v>-80</v>
      </c>
      <c r="G8" s="22">
        <f t="shared" si="3"/>
        <v>-90</v>
      </c>
      <c r="H8" s="22">
        <f t="shared" si="3"/>
        <v>-100</v>
      </c>
      <c r="I8" s="22">
        <f t="shared" si="3"/>
        <v>-110</v>
      </c>
      <c r="J8" s="22">
        <f t="shared" si="3"/>
        <v>-120</v>
      </c>
      <c r="K8" s="22">
        <f t="shared" si="3"/>
        <v>-130</v>
      </c>
      <c r="L8" s="22">
        <f t="shared" si="3"/>
        <v>-140</v>
      </c>
      <c r="M8" s="22">
        <f t="shared" si="3"/>
        <v>-150</v>
      </c>
      <c r="N8" s="22">
        <f t="shared" si="3"/>
        <v>-160</v>
      </c>
      <c r="O8" s="22">
        <f t="shared" si="3"/>
        <v>-170</v>
      </c>
      <c r="P8" s="19" t="s">
        <v>33</v>
      </c>
    </row>
    <row r="9" spans="1:16" x14ac:dyDescent="0.35">
      <c r="B9" s="17" t="s">
        <v>30</v>
      </c>
      <c r="D9" s="20" t="s">
        <v>12</v>
      </c>
      <c r="F9" s="23">
        <f>SUM(F6:F8)</f>
        <v>320</v>
      </c>
      <c r="G9" s="23">
        <f t="shared" ref="G9:O9" si="4">SUM(G6:G8)</f>
        <v>245</v>
      </c>
      <c r="H9" s="23">
        <f t="shared" si="4"/>
        <v>170</v>
      </c>
      <c r="I9" s="23">
        <f t="shared" si="4"/>
        <v>95</v>
      </c>
      <c r="J9" s="23">
        <f t="shared" si="4"/>
        <v>20</v>
      </c>
      <c r="K9" s="23">
        <f t="shared" si="4"/>
        <v>-55</v>
      </c>
      <c r="L9" s="23">
        <f t="shared" si="4"/>
        <v>-130</v>
      </c>
      <c r="M9" s="23">
        <f t="shared" si="4"/>
        <v>-205</v>
      </c>
      <c r="N9" s="23">
        <f t="shared" si="4"/>
        <v>-280</v>
      </c>
      <c r="O9" s="23">
        <f t="shared" si="4"/>
        <v>-355</v>
      </c>
      <c r="P9" s="19" t="s">
        <v>34</v>
      </c>
    </row>
    <row r="11" spans="1:16" x14ac:dyDescent="0.35">
      <c r="A11" s="16" t="s">
        <v>40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6" x14ac:dyDescent="0.35">
      <c r="B12" s="17" t="s">
        <v>35</v>
      </c>
      <c r="D12" s="20" t="s">
        <v>12</v>
      </c>
      <c r="E12" s="22">
        <f>CstInitialSinging+CstInitialOutfits</f>
        <v>-220</v>
      </c>
      <c r="F12" s="19" t="s">
        <v>41</v>
      </c>
      <c r="G12" s="22"/>
      <c r="H12" s="22"/>
      <c r="I12" s="22"/>
      <c r="J12" s="22"/>
      <c r="K12" s="22"/>
      <c r="L12" s="22"/>
      <c r="M12" s="22"/>
      <c r="N12" s="22"/>
      <c r="O12" s="22"/>
    </row>
    <row r="13" spans="1:16" x14ac:dyDescent="0.35">
      <c r="B13" s="17" t="s">
        <v>48</v>
      </c>
      <c r="D13" s="20" t="s">
        <v>12</v>
      </c>
      <c r="E13" s="22">
        <f>NetCashInitial</f>
        <v>-220</v>
      </c>
      <c r="F13" s="22">
        <f t="shared" ref="F13:O13" si="5">NetIncome</f>
        <v>320</v>
      </c>
      <c r="G13" s="22">
        <f t="shared" si="5"/>
        <v>245</v>
      </c>
      <c r="H13" s="22">
        <f t="shared" si="5"/>
        <v>170</v>
      </c>
      <c r="I13" s="22">
        <f t="shared" si="5"/>
        <v>95</v>
      </c>
      <c r="J13" s="22">
        <f t="shared" si="5"/>
        <v>20</v>
      </c>
      <c r="K13" s="22">
        <f t="shared" si="5"/>
        <v>-55</v>
      </c>
      <c r="L13" s="22">
        <f t="shared" si="5"/>
        <v>-130</v>
      </c>
      <c r="M13" s="22">
        <f t="shared" si="5"/>
        <v>-205</v>
      </c>
      <c r="N13" s="22">
        <f t="shared" si="5"/>
        <v>-280</v>
      </c>
      <c r="O13" s="22">
        <f t="shared" si="5"/>
        <v>-355</v>
      </c>
      <c r="P13" s="19" t="s">
        <v>49</v>
      </c>
    </row>
    <row r="14" spans="1:16" x14ac:dyDescent="0.35"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6" x14ac:dyDescent="0.35">
      <c r="A15" s="16" t="s">
        <v>45</v>
      </c>
    </row>
    <row r="16" spans="1:16" x14ac:dyDescent="0.35">
      <c r="B16" s="17" t="s">
        <v>46</v>
      </c>
      <c r="D16" s="20" t="s">
        <v>12</v>
      </c>
      <c r="E16" s="31">
        <f>NPV(DiscountRate,NetIncome)+NetCashInitial</f>
        <v>-21.036313052424418</v>
      </c>
    </row>
    <row r="17" spans="2:5" x14ac:dyDescent="0.35">
      <c r="B17" s="17" t="s">
        <v>47</v>
      </c>
      <c r="D17" s="20" t="s">
        <v>12</v>
      </c>
      <c r="E17" s="32">
        <f>IRR(CashflowIrr)</f>
        <v>8.7768337483780101E-2</v>
      </c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Cover</vt:lpstr>
      <vt:lpstr>Inputs</vt:lpstr>
      <vt:lpstr>Calculations</vt:lpstr>
      <vt:lpstr>CashflowIrr</vt:lpstr>
      <vt:lpstr>CoverComp</vt:lpstr>
      <vt:lpstr>CoverStartYear</vt:lpstr>
      <vt:lpstr>CstHousingPrice</vt:lpstr>
      <vt:lpstr>CstHousingRate</vt:lpstr>
      <vt:lpstr>CstInitialOutfits</vt:lpstr>
      <vt:lpstr>CstInitialSinging</vt:lpstr>
      <vt:lpstr>CstLivingDaily</vt:lpstr>
      <vt:lpstr>CstLivingLoose</vt:lpstr>
      <vt:lpstr>DiscountRate</vt:lpstr>
      <vt:lpstr>ModelYear</vt:lpstr>
      <vt:lpstr>NetCashInitial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2025-12-17T10:20:23Z</dcterms:modified>
</cp:coreProperties>
</file>