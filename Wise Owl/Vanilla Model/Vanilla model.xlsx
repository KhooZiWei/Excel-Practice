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50\"/>
    </mc:Choice>
  </mc:AlternateContent>
  <xr:revisionPtr revIDLastSave="0" documentId="13_ncr:1_{A26DE34E-26A8-4EB7-AF54-3D28ABCF406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Daily_expenses">Inputs!$F$19</definedName>
    <definedName name="LineItems">Calculations!$B$6:$B$8</definedName>
    <definedName name="MetricLineItem">Inputs!$E$19</definedName>
    <definedName name="MetricYearNumber">Inputs!$E$18</definedName>
    <definedName name="ModelYear" localSheetId="2">Calculations!$F$3:$O$3</definedName>
    <definedName name="ModelYear">Inputs!$F$3:$O$3</definedName>
    <definedName name="NetCstHousing">Calculations!$F$8:$O$8</definedName>
    <definedName name="NetCstLiving">Calculations!$F$7:$O$7</definedName>
    <definedName name="NetData">Calculations!$F$6:$O$8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5" l="1"/>
  <c r="F8" i="5" a="1"/>
  <c r="F8" i="5" s="1"/>
  <c r="F7" i="5" a="1"/>
  <c r="F7" i="5" s="1"/>
  <c r="F6" i="5" a="1"/>
  <c r="F6" i="5" s="1"/>
  <c r="D13" i="4"/>
  <c r="M9" i="5" l="1"/>
  <c r="I9" i="5"/>
  <c r="N9" i="5"/>
  <c r="J9" i="5"/>
  <c r="F9" i="5"/>
  <c r="O9" i="5"/>
  <c r="K9" i="5"/>
  <c r="L9" i="5"/>
  <c r="G6" i="2"/>
  <c r="G9" i="5" s="1"/>
  <c r="F3" i="2"/>
  <c r="H6" i="2" l="1"/>
  <c r="H9" i="5" s="1"/>
  <c r="G3" i="2"/>
  <c r="H3" i="2" s="1"/>
  <c r="I3" i="2" s="1"/>
  <c r="J3" i="2" s="1"/>
  <c r="K3" i="2" s="1"/>
  <c r="L3" i="2" s="1"/>
  <c r="M3" i="2" s="1"/>
  <c r="N3" i="2" s="1"/>
  <c r="O3" i="2" s="1"/>
  <c r="F3" i="5"/>
  <c r="G3" i="5" l="1"/>
  <c r="H3" i="5" s="1"/>
  <c r="I3" i="5" s="1"/>
  <c r="J3" i="5" s="1"/>
  <c r="K3" i="5" s="1"/>
  <c r="L3" i="5" s="1"/>
  <c r="M3" i="5" s="1"/>
  <c r="N3" i="5" s="1"/>
  <c r="O3" i="5" s="1"/>
  <c r="E12" i="5" l="1"/>
  <c r="E14" i="5" s="1" a="1"/>
  <c r="E14" i="5" s="1"/>
  <c r="E17" i="5" a="1"/>
  <c r="E1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<sst xmlns="http://schemas.openxmlformats.org/spreadsheetml/2006/main" count="65" uniqueCount="48">
  <si>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</si>
  <si>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</si>
  <si>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</si>
  <si>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</si>
  <si>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</si>
  <si>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</si>
  <si>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</si>
  <si>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</si>
  <si>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</si>
  <si>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</si>
  <si>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</si>
  <si>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</si>
  <si>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</si>
  <si>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</si>
  <si>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</si>
  <si>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</si>
  <si>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</si>
  <si>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</si>
  <si>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</si>
  <si>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</si>
  <si>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</si>
  <si>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</si>
  <si>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</si>
  <si>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</si>
  <si>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</si>
  <si>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</si>
  <si>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</si>
  <si>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</si>
  <si>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</si>
  <si>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</si>
  <si>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</si>
  <si>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</si>
  <si>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</si>
  <si>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</si>
  <si>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</si>
  <si>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Key metric</t>
  </si>
  <si>
    <t>Line item</t>
  </si>
  <si>
    <t>Year number</t>
  </si>
  <si>
    <t>Year</t>
  </si>
  <si>
    <t>N/A</t>
  </si>
  <si>
    <t>Index number for line item</t>
  </si>
  <si>
    <t>Metric value</t>
  </si>
  <si>
    <t>Showing off</t>
  </si>
  <si>
    <t>Metric value with a single function</t>
  </si>
  <si>
    <t>MetricYearNumber</t>
  </si>
  <si>
    <t>MetricLineItem</t>
  </si>
  <si>
    <t>Index number for year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</si>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</sst>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34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0" xfId="9"/>
    <xf numFmtId="37" fontId="1" fillId="0" borderId="11" xfId="9" applyBorder="1"/>
    <xf numFmtId="0" fontId="5" fillId="0" borderId="0" xfId="0" applyFont="1"/>
    <xf numFmtId="0" fontId="0" fillId="6" borderId="0" xfId="0" applyFill="1"/>
    <xf numFmtId="0" fontId="2" fillId="6" borderId="0" xfId="4" applyFill="1"/>
    <xf numFmtId="0" fontId="2" fillId="6" borderId="0" xfId="7" applyFill="1">
      <alignment horizontal="center"/>
    </xf>
    <xf numFmtId="1" fontId="1" fillId="5" borderId="1" xfId="5" applyNumberFormat="1">
      <alignment horizontal="right" indent="1"/>
    </xf>
    <xf numFmtId="0" fontId="0" fillId="7" borderId="1" xfId="0" applyFill="1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F14" sqref="F14"/>
    </sheetView>
  </sheetViews>
  <sheetFormatPr defaultColWidth="0" defaultRowHeight="14.5" zeroHeight="1" x14ac:dyDescent="0.35"/>
  <cols>
    <col min="1" max="1" width="4.08984375" customWidth="1"/>
    <col min="2" max="2" width="3.453125" customWidth="1"/>
    <col min="3" max="3" width="16.453125" customWidth="1"/>
    <col min="4" max="4" width="29.90625" customWidth="1"/>
    <col min="5" max="5" width="3.54296875" customWidth="1"/>
    <col min="6" max="6" width="5" customWidth="1"/>
    <col min="7" max="16384" width="9.08984375" hidden="1"/>
  </cols>
  <sheetData>
    <row r="1" spans="2:5" ht="1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13" t="s">
        <v>47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9" sqref="E19"/>
    </sheetView>
  </sheetViews>
  <sheetFormatPr defaultRowHeight="14.5" x14ac:dyDescent="0.35"/>
  <cols>
    <col min="2" max="2" width="20.453125" style="17" customWidth="1"/>
    <col min="3" max="3" width="5.6328125" customWidth="1"/>
    <col min="4" max="4" width="9.08984375" style="20"/>
    <col min="5" max="5" width="15.6328125" bestFit="1" customWidth="1"/>
    <col min="6" max="6" width="9.08984375" customWidth="1"/>
    <col min="16" max="16" width="14" style="19" bestFit="1" customWidth="1"/>
  </cols>
  <sheetData>
    <row r="2" spans="1:16" x14ac:dyDescent="0.35">
      <c r="F2" s="31" t="s">
        <v>8</v>
      </c>
      <c r="G2" s="32"/>
      <c r="H2" s="32"/>
      <c r="I2" s="32"/>
      <c r="J2" s="32"/>
      <c r="K2" s="32"/>
      <c r="L2" s="32"/>
      <c r="M2" s="32"/>
      <c r="N2" s="32"/>
      <c r="O2" s="33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10</v>
      </c>
    </row>
    <row r="6" spans="1:16" x14ac:dyDescent="0.3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3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35">
      <c r="A9" s="16" t="s">
        <v>18</v>
      </c>
    </row>
    <row r="10" spans="1:16" x14ac:dyDescent="0.3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3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35">
      <c r="A13" s="16" t="s">
        <v>19</v>
      </c>
    </row>
    <row r="14" spans="1:16" x14ac:dyDescent="0.3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3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  <row r="17" spans="1:6" x14ac:dyDescent="0.35">
      <c r="A17" s="16" t="s">
        <v>35</v>
      </c>
    </row>
    <row r="18" spans="1:6" x14ac:dyDescent="0.35">
      <c r="A18" s="26"/>
      <c r="B18" s="27" t="s">
        <v>37</v>
      </c>
      <c r="C18" s="26"/>
      <c r="D18" s="28" t="s">
        <v>38</v>
      </c>
      <c r="E18" s="29">
        <v>2030</v>
      </c>
      <c r="F18" s="19" t="s">
        <v>44</v>
      </c>
    </row>
    <row r="19" spans="1:6" x14ac:dyDescent="0.35">
      <c r="A19" s="26"/>
      <c r="B19" s="27" t="s">
        <v>36</v>
      </c>
      <c r="C19" s="26"/>
      <c r="D19" s="28" t="s">
        <v>39</v>
      </c>
      <c r="E19" s="18" t="s">
        <v>29</v>
      </c>
      <c r="F19" s="19" t="s">
        <v>45</v>
      </c>
    </row>
  </sheetData>
  <mergeCells count="1">
    <mergeCell ref="F2:O2"/>
  </mergeCells>
  <dataValidations count="2">
    <dataValidation type="list" allowBlank="1" showInputMessage="1" showErrorMessage="1" sqref="E18" xr:uid="{00000000-0002-0000-0100-000000000000}">
      <formula1>ModelYear</formula1>
    </dataValidation>
    <dataValidation type="list" allowBlank="1" showInputMessage="1" showErrorMessage="1" sqref="E19" xr:uid="{00000000-0002-0000-0100-000001000000}">
      <formula1>LineItems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7"/>
  <sheetViews>
    <sheetView tabSelected="1" workbookViewId="0">
      <selection activeCell="F27" sqref="F27"/>
    </sheetView>
  </sheetViews>
  <sheetFormatPr defaultRowHeight="14.5" x14ac:dyDescent="0.35"/>
  <cols>
    <col min="1" max="1" width="6.453125" customWidth="1"/>
    <col min="2" max="2" width="24.90625" style="17" bestFit="1" customWidth="1"/>
    <col min="3" max="3" width="3.08984375" customWidth="1"/>
    <col min="4" max="4" width="9.08984375" style="20"/>
    <col min="6" max="6" width="10.54296875" bestFit="1" customWidth="1"/>
    <col min="16" max="16" width="12.90625" style="19" customWidth="1"/>
  </cols>
  <sheetData>
    <row r="2" spans="1:16" x14ac:dyDescent="0.35">
      <c r="F2" s="31" t="s">
        <v>8</v>
      </c>
      <c r="G2" s="32"/>
      <c r="H2" s="32"/>
      <c r="I2" s="32"/>
      <c r="J2" s="32"/>
      <c r="K2" s="32"/>
      <c r="L2" s="32"/>
      <c r="M2" s="32"/>
      <c r="N2" s="32"/>
      <c r="O2" s="33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30</v>
      </c>
    </row>
    <row r="6" spans="1:16" x14ac:dyDescent="0.35">
      <c r="B6" s="17" t="s">
        <v>27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31</v>
      </c>
    </row>
    <row r="7" spans="1:16" x14ac:dyDescent="0.35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35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35">
      <c r="B9" s="17" t="s">
        <v>30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34</v>
      </c>
    </row>
    <row r="11" spans="1:16" x14ac:dyDescent="0.35">
      <c r="A11" s="16" t="s">
        <v>35</v>
      </c>
      <c r="F11" s="21"/>
    </row>
    <row r="12" spans="1:16" x14ac:dyDescent="0.35">
      <c r="B12" s="17" t="s">
        <v>46</v>
      </c>
      <c r="D12" s="20" t="s">
        <v>39</v>
      </c>
      <c r="E12" s="30">
        <f ca="1">MATCH(MetricYearNumber,Calculations!ModelYear,0)</f>
        <v>6</v>
      </c>
    </row>
    <row r="13" spans="1:16" x14ac:dyDescent="0.35">
      <c r="B13" s="17" t="s">
        <v>40</v>
      </c>
      <c r="D13" s="20" t="s">
        <v>39</v>
      </c>
      <c r="E13" s="30">
        <f>MATCH(MetricLineItem,LineItems,0)</f>
        <v>3</v>
      </c>
    </row>
    <row r="14" spans="1:16" x14ac:dyDescent="0.35">
      <c r="B14" s="17" t="s">
        <v>41</v>
      </c>
      <c r="D14" s="20" t="s">
        <v>12</v>
      </c>
      <c r="E14" s="30" cm="1">
        <f t="array" aca="1" ref="E14" ca="1">INDEX(F3:O8,E13+3,E12)</f>
        <v>-130</v>
      </c>
    </row>
    <row r="16" spans="1:16" x14ac:dyDescent="0.35">
      <c r="A16" s="25" t="s">
        <v>42</v>
      </c>
    </row>
    <row r="17" spans="2:5" x14ac:dyDescent="0.35">
      <c r="B17" s="17" t="s">
        <v>43</v>
      </c>
      <c r="E17" s="30" cm="1">
        <f t="array" aca="1" ref="E17" ca="1">INDEX(F3:O8,MATCH(MetricLineItem,LineItems,0)+3,MATCH(MetricYearNumber,Calculations!ModelYear,0))</f>
        <v>-130</v>
      </c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Daily_expenses</vt:lpstr>
      <vt:lpstr>LineItems</vt:lpstr>
      <vt:lpstr>MetricLineItem</vt:lpstr>
      <vt:lpstr>MetricYearNumber</vt:lpstr>
      <vt:lpstr>Calculations!ModelYear</vt:lpstr>
      <vt:lpstr>ModelYear</vt:lpstr>
      <vt:lpstr>NetCstHousing</vt:lpstr>
      <vt:lpstr>NetCstLiving</vt:lpstr>
      <vt:lpstr>NetData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2025-11-25T12:47:43Z</dcterms:modified>
</cp:coreProperties>
</file>