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40\"/>
    </mc:Choice>
  </mc:AlternateContent>
  <xr:revisionPtr revIDLastSave="0" documentId="13_ncr:1_{FA445049-86B6-40DE-9B6F-645A088F86E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(Night-scented) stock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5" i="1" l="1"/>
  <c r="H24" i="1"/>
  <c r="H18" i="1" a="1"/>
  <c r="H18" i="1" s="1"/>
  <c r="H12" i="1" a="1"/>
  <c r="H12" i="1" s="1"/>
  <c r="H6" i="1"/>
  <c r="H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<sst xmlns="http://schemas.openxmlformats.org/spreadsheetml/2006/main" count="135" uniqueCount="61">
  <si>
    <t>Plant Name</t>
  </si>
  <si>
    <t>Colour</t>
  </si>
  <si>
    <t>Category</t>
  </si>
  <si>
    <t>Soil</t>
  </si>
  <si>
    <t>Price</t>
  </si>
  <si>
    <t>Hebe</t>
  </si>
  <si>
    <t>Purple</t>
  </si>
  <si>
    <t>Shrub</t>
  </si>
  <si>
    <t>Neutral</t>
  </si>
  <si>
    <t>Honeysuckle</t>
  </si>
  <si>
    <t>Orange</t>
  </si>
  <si>
    <t>Climber</t>
  </si>
  <si>
    <t>Acidic</t>
  </si>
  <si>
    <t>Hostas</t>
  </si>
  <si>
    <t>None</t>
  </si>
  <si>
    <t>Moist</t>
  </si>
  <si>
    <t>Primrose</t>
  </si>
  <si>
    <t>Red</t>
  </si>
  <si>
    <t>Flower</t>
  </si>
  <si>
    <t>Jasmine</t>
  </si>
  <si>
    <t>Yellow</t>
  </si>
  <si>
    <t>Clematis President</t>
  </si>
  <si>
    <t>Alkaline</t>
  </si>
  <si>
    <t>Lupin</t>
  </si>
  <si>
    <t>Blue</t>
  </si>
  <si>
    <t>Skimmia</t>
  </si>
  <si>
    <t>White</t>
  </si>
  <si>
    <t>Acer Purpureum</t>
  </si>
  <si>
    <t>Tree</t>
  </si>
  <si>
    <t>Narcissus</t>
  </si>
  <si>
    <t>Rosa</t>
  </si>
  <si>
    <t>Pink</t>
  </si>
  <si>
    <t>Clematis Montana</t>
  </si>
  <si>
    <t>Broome</t>
  </si>
  <si>
    <t>Acer "golden crush"</t>
  </si>
  <si>
    <t>Rhododendrum</t>
  </si>
  <si>
    <t>Tulip</t>
  </si>
  <si>
    <t>Gladioli</t>
  </si>
  <si>
    <t>Dogwood</t>
  </si>
  <si>
    <t>Choicya</t>
  </si>
  <si>
    <t>Virginia Creeper</t>
  </si>
  <si>
    <t>Red Hot Poker</t>
  </si>
  <si>
    <t>Primulas</t>
  </si>
  <si>
    <t>Hedera</t>
  </si>
  <si>
    <t>Asta</t>
  </si>
  <si>
    <t>Dahlia</t>
  </si>
  <si>
    <t>Clematis Corona</t>
  </si>
  <si>
    <t>Choose a plant</t>
  </si>
  <si>
    <t>What colour is it?</t>
  </si>
  <si>
    <t>How much does it cost?</t>
  </si>
  <si>
    <t>Basic XLOOKUP Functions</t>
  </si>
  <si>
    <t>Using as an array</t>
  </si>
  <si>
    <t>Choose a soil type</t>
  </si>
  <si>
    <t>First plant for this type</t>
  </si>
  <si>
    <t>Last plant for this type</t>
  </si>
  <si>
    <t>If the plant typed in doesn't exist, these should show PLANT NOT FOUND</t>
  </si>
  <si>
    <t>Wildcard searching</t>
  </si>
  <si>
    <t>Part of plant name</t>
  </si>
  <si>
    <t>lip</t>
  </si>
  <si>
    <t>Plant</t>
  </si>
  <si>
    <t>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</si>
</sst>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.00;[Red]\-&quot;£&quot;#,##0.00"/>
    <numFmt numFmtId="165" formatCode="&quot;£&quot;#,##0.00"/>
    <numFmt numFmtId="166" formatCode="@&quot; ==&gt;&quot;"/>
  </numFmts>
  <fonts count="7" x14ac:knownFonts="1">
    <font>
      <sz val="10"/>
      <name val="Arial"/>
    </font>
    <font>
      <sz val="10"/>
      <color indexed="16"/>
      <name val="Arial"/>
      <family val="2"/>
    </font>
    <font>
      <b/>
      <sz val="10"/>
      <color indexed="16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0" xfId="0" applyFont="1" applyFill="1" applyBorder="1" applyAlignment="1">
      <alignment horizontal="center"/>
    </xf>
    <xf numFmtId="165" fontId="1" fillId="2" borderId="0" xfId="0" applyNumberFormat="1" applyFont="1" applyFill="1" applyBorder="1" applyAlignment="1">
      <alignment horizontal="right"/>
    </xf>
    <xf numFmtId="165" fontId="1" fillId="2" borderId="0" xfId="0" applyNumberFormat="1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right"/>
    </xf>
    <xf numFmtId="165" fontId="1" fillId="2" borderId="2" xfId="0" applyNumberFormat="1" applyFont="1" applyFill="1" applyBorder="1"/>
    <xf numFmtId="164" fontId="1" fillId="2" borderId="5" xfId="0" applyNumberFormat="1" applyFont="1" applyFill="1" applyBorder="1"/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 indent="1"/>
    </xf>
    <xf numFmtId="0" fontId="3" fillId="3" borderId="8" xfId="0" applyFont="1" applyFill="1" applyBorder="1" applyAlignment="1">
      <alignment horizontal="center"/>
    </xf>
    <xf numFmtId="166" fontId="3" fillId="0" borderId="0" xfId="0" applyNumberFormat="1" applyFont="1" applyAlignment="1">
      <alignment horizontal="right" indent="1"/>
    </xf>
    <xf numFmtId="0" fontId="4" fillId="5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120" zoomScaleNormal="120" zoomScaleSheetLayoutView="100" workbookViewId="0">
      <selection activeCell="H26" sqref="H26"/>
    </sheetView>
  </sheetViews>
  <sheetFormatPr defaultRowHeight="12.5" x14ac:dyDescent="0.25"/>
  <cols>
    <col min="1" max="1" width="18" customWidth="1"/>
    <col min="2" max="2" width="11.36328125" style="2" customWidth="1"/>
    <col min="3" max="3" width="11.90625" style="2" customWidth="1"/>
    <col min="4" max="4" width="12" style="2" customWidth="1"/>
    <col min="5" max="5" width="9.90625" customWidth="1"/>
    <col min="7" max="7" width="29.36328125" style="1" bestFit="1" customWidth="1"/>
    <col min="8" max="8" width="16.08984375" customWidth="1"/>
    <col min="9" max="9" width="13" customWidth="1"/>
    <col min="10" max="10" width="10.54296875" customWidth="1"/>
    <col min="11" max="11" width="12.1796875" customWidth="1"/>
  </cols>
  <sheetData>
    <row r="1" spans="1:12" ht="13" x14ac:dyDescent="0.3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12" ht="13" x14ac:dyDescent="0.3">
      <c r="A2" s="3" t="s">
        <v>34</v>
      </c>
      <c r="B2" s="4" t="s">
        <v>14</v>
      </c>
      <c r="C2" s="4" t="s">
        <v>28</v>
      </c>
      <c r="D2" s="4" t="s">
        <v>8</v>
      </c>
      <c r="E2" s="15">
        <v>23.99</v>
      </c>
      <c r="G2" s="25" t="s">
        <v>50</v>
      </c>
      <c r="H2" s="25"/>
    </row>
    <row r="3" spans="1:12" x14ac:dyDescent="0.25">
      <c r="A3" s="5" t="s">
        <v>27</v>
      </c>
      <c r="B3" s="6" t="s">
        <v>14</v>
      </c>
      <c r="C3" s="6" t="s">
        <v>28</v>
      </c>
      <c r="D3" s="6" t="s">
        <v>12</v>
      </c>
      <c r="E3" s="8">
        <v>29.99</v>
      </c>
      <c r="G3" s="21"/>
      <c r="H3" s="21"/>
    </row>
    <row r="4" spans="1:12" ht="13.25" customHeight="1" x14ac:dyDescent="0.25">
      <c r="A4" s="5" t="s">
        <v>44</v>
      </c>
      <c r="B4" s="6" t="s">
        <v>31</v>
      </c>
      <c r="C4" s="6" t="s">
        <v>18</v>
      </c>
      <c r="D4" s="6" t="s">
        <v>12</v>
      </c>
      <c r="E4" s="9">
        <v>0.99</v>
      </c>
      <c r="G4" s="18" t="s">
        <v>47</v>
      </c>
      <c r="H4" s="19" t="s">
        <v>33</v>
      </c>
    </row>
    <row r="5" spans="1:12" x14ac:dyDescent="0.25">
      <c r="A5" s="5" t="s">
        <v>33</v>
      </c>
      <c r="B5" s="6" t="s">
        <v>20</v>
      </c>
      <c r="C5" s="6" t="s">
        <v>28</v>
      </c>
      <c r="D5" s="6" t="s">
        <v>22</v>
      </c>
      <c r="E5" s="8">
        <v>12.99</v>
      </c>
      <c r="G5" s="20" t="s">
        <v>48</v>
      </c>
      <c r="H5" s="28" t="str">
        <f>_xlfn.XLOOKUP(H4,A2:A27,B2:B27,,0)</f>
        <v>Yellow</v>
      </c>
      <c r="I5" s="26" t="s">
        <v>55</v>
      </c>
      <c r="J5" s="27"/>
      <c r="K5" s="27"/>
    </row>
    <row r="6" spans="1:12" x14ac:dyDescent="0.25">
      <c r="A6" s="5" t="s">
        <v>39</v>
      </c>
      <c r="B6" s="6" t="s">
        <v>26</v>
      </c>
      <c r="C6" s="6" t="s">
        <v>7</v>
      </c>
      <c r="D6" s="6" t="s">
        <v>12</v>
      </c>
      <c r="E6" s="9">
        <v>4.99</v>
      </c>
      <c r="G6" s="20" t="s">
        <v>49</v>
      </c>
      <c r="H6" s="23">
        <f>_xlfn.XLOOKUP(H4,A2:A27,E2:E27,,0)</f>
        <v>12.99</v>
      </c>
      <c r="I6" s="26"/>
      <c r="J6" s="27"/>
      <c r="K6" s="27"/>
    </row>
    <row r="7" spans="1:12" x14ac:dyDescent="0.25">
      <c r="A7" s="5" t="s">
        <v>46</v>
      </c>
      <c r="B7" s="6" t="s">
        <v>6</v>
      </c>
      <c r="C7" s="6" t="s">
        <v>11</v>
      </c>
      <c r="D7" s="6" t="s">
        <v>22</v>
      </c>
      <c r="E7" s="8">
        <v>3.99</v>
      </c>
      <c r="G7"/>
    </row>
    <row r="8" spans="1:12" x14ac:dyDescent="0.25">
      <c r="A8" s="5" t="s">
        <v>32</v>
      </c>
      <c r="B8" s="6" t="s">
        <v>26</v>
      </c>
      <c r="C8" s="6" t="s">
        <v>11</v>
      </c>
      <c r="D8" s="6" t="s">
        <v>12</v>
      </c>
      <c r="E8" s="8">
        <v>7.99</v>
      </c>
      <c r="G8" s="17"/>
    </row>
    <row r="9" spans="1:12" ht="13" x14ac:dyDescent="0.3">
      <c r="A9" s="5" t="s">
        <v>21</v>
      </c>
      <c r="B9" s="6" t="s">
        <v>6</v>
      </c>
      <c r="C9" s="6" t="s">
        <v>11</v>
      </c>
      <c r="D9" s="6" t="s">
        <v>22</v>
      </c>
      <c r="E9" s="7">
        <v>6.99</v>
      </c>
      <c r="G9" s="25" t="s">
        <v>51</v>
      </c>
      <c r="H9" s="25"/>
      <c r="I9" s="25"/>
      <c r="J9" s="25"/>
      <c r="K9" s="25"/>
    </row>
    <row r="10" spans="1:12" x14ac:dyDescent="0.25">
      <c r="A10" s="5" t="s">
        <v>45</v>
      </c>
      <c r="B10" s="6" t="s">
        <v>24</v>
      </c>
      <c r="C10" s="6" t="s">
        <v>18</v>
      </c>
      <c r="D10" s="6" t="s">
        <v>8</v>
      </c>
      <c r="E10" s="9">
        <v>1.59</v>
      </c>
      <c r="G10" s="21"/>
      <c r="H10" s="21"/>
    </row>
    <row r="11" spans="1:12" ht="13" x14ac:dyDescent="0.3">
      <c r="A11" s="5" t="s">
        <v>38</v>
      </c>
      <c r="B11" s="6" t="s">
        <v>14</v>
      </c>
      <c r="C11" s="6" t="s">
        <v>7</v>
      </c>
      <c r="D11" s="6" t="s">
        <v>8</v>
      </c>
      <c r="E11" s="9">
        <v>3.99</v>
      </c>
      <c r="G11" s="22" t="s">
        <v>0</v>
      </c>
      <c r="H11" s="13" t="s">
        <v>1</v>
      </c>
      <c r="I11" s="13" t="s">
        <v>2</v>
      </c>
      <c r="J11" s="13" t="s">
        <v>3</v>
      </c>
      <c r="K11" s="13" t="s">
        <v>4</v>
      </c>
    </row>
    <row r="12" spans="1:12" x14ac:dyDescent="0.25">
      <c r="A12" s="5" t="s">
        <v>37</v>
      </c>
      <c r="B12" s="6" t="s">
        <v>6</v>
      </c>
      <c r="C12" s="6" t="s">
        <v>18</v>
      </c>
      <c r="D12" s="6" t="s">
        <v>8</v>
      </c>
      <c r="E12" s="8">
        <v>0.99</v>
      </c>
      <c r="G12" s="19" t="s">
        <v>33</v>
      </c>
      <c r="H12" s="23" t="str" cm="1">
        <f t="array" ref="H12:K12">_xlfn.XLOOKUP(G12,A2:A27,B2:E27,,0)</f>
        <v>Yellow</v>
      </c>
      <c r="I12" s="23" t="str">
        <v>Tree</v>
      </c>
      <c r="J12" s="23" t="str">
        <v>Alkaline</v>
      </c>
      <c r="K12" s="23">
        <v>12.99</v>
      </c>
    </row>
    <row r="13" spans="1:12" x14ac:dyDescent="0.25">
      <c r="A13" s="5" t="s">
        <v>5</v>
      </c>
      <c r="B13" s="6" t="s">
        <v>6</v>
      </c>
      <c r="C13" s="6" t="s">
        <v>7</v>
      </c>
      <c r="D13" s="6" t="s">
        <v>8</v>
      </c>
      <c r="E13" s="7">
        <v>5.99</v>
      </c>
      <c r="G13"/>
    </row>
    <row r="14" spans="1:12" x14ac:dyDescent="0.25">
      <c r="A14" s="5" t="s">
        <v>43</v>
      </c>
      <c r="B14" s="6" t="s">
        <v>14</v>
      </c>
      <c r="C14" s="6" t="s">
        <v>7</v>
      </c>
      <c r="D14" s="6" t="s">
        <v>8</v>
      </c>
      <c r="E14" s="9">
        <v>4.99</v>
      </c>
      <c r="G14"/>
    </row>
    <row r="15" spans="1:12" ht="13" x14ac:dyDescent="0.3">
      <c r="A15" s="5" t="s">
        <v>9</v>
      </c>
      <c r="B15" s="6" t="s">
        <v>10</v>
      </c>
      <c r="C15" s="6" t="s">
        <v>11</v>
      </c>
      <c r="D15" s="6" t="s">
        <v>12</v>
      </c>
      <c r="E15" s="7">
        <v>4.99</v>
      </c>
      <c r="G15" s="25" t="s">
        <v>56</v>
      </c>
      <c r="H15" s="25"/>
      <c r="I15" s="25"/>
      <c r="J15" s="25"/>
      <c r="K15" s="25"/>
      <c r="L15" s="25"/>
    </row>
    <row r="16" spans="1:12" x14ac:dyDescent="0.25">
      <c r="A16" s="5" t="s">
        <v>13</v>
      </c>
      <c r="B16" s="6" t="s">
        <v>14</v>
      </c>
      <c r="C16" s="6" t="s">
        <v>7</v>
      </c>
      <c r="D16" s="6" t="s">
        <v>15</v>
      </c>
      <c r="E16" s="7">
        <v>2.99</v>
      </c>
      <c r="G16"/>
    </row>
    <row r="17" spans="1:12" ht="13" x14ac:dyDescent="0.3">
      <c r="A17" s="5" t="s">
        <v>19</v>
      </c>
      <c r="B17" s="6" t="s">
        <v>20</v>
      </c>
      <c r="C17" s="6" t="s">
        <v>7</v>
      </c>
      <c r="D17" s="6" t="s">
        <v>8</v>
      </c>
      <c r="E17" s="7">
        <v>7.99</v>
      </c>
      <c r="G17" s="22" t="s">
        <v>57</v>
      </c>
      <c r="H17" s="13" t="s">
        <v>59</v>
      </c>
      <c r="I17" s="13" t="s">
        <v>1</v>
      </c>
      <c r="J17" s="13" t="s">
        <v>2</v>
      </c>
      <c r="K17" s="13" t="s">
        <v>3</v>
      </c>
      <c r="L17" s="24" t="s">
        <v>4</v>
      </c>
    </row>
    <row r="18" spans="1:12" x14ac:dyDescent="0.25">
      <c r="A18" s="5" t="s">
        <v>23</v>
      </c>
      <c r="B18" s="6" t="s">
        <v>24</v>
      </c>
      <c r="C18" s="6" t="s">
        <v>18</v>
      </c>
      <c r="D18" s="6" t="s">
        <v>15</v>
      </c>
      <c r="E18" s="7">
        <v>1.5</v>
      </c>
      <c r="G18" s="19" t="s">
        <v>58</v>
      </c>
      <c r="H18" s="23" t="str" cm="1">
        <f t="array" ref="H18:L18">_xlfn.XLOOKUP("*"&amp;G18&amp;"*",A2:A27,A2:E27,,2)</f>
        <v>Tulip</v>
      </c>
      <c r="I18" s="23" t="str">
        <v>Red</v>
      </c>
      <c r="J18" s="23" t="str">
        <v>Flower</v>
      </c>
      <c r="K18" s="23" t="str">
        <v>Neutral</v>
      </c>
      <c r="L18" s="23">
        <v>0.79</v>
      </c>
    </row>
    <row r="19" spans="1:12" x14ac:dyDescent="0.25">
      <c r="A19" s="5" t="s">
        <v>29</v>
      </c>
      <c r="B19" s="6" t="s">
        <v>20</v>
      </c>
      <c r="C19" s="6" t="s">
        <v>18</v>
      </c>
      <c r="D19" s="6" t="s">
        <v>22</v>
      </c>
      <c r="E19" s="8">
        <v>0.99</v>
      </c>
      <c r="G19"/>
    </row>
    <row r="20" spans="1:12" x14ac:dyDescent="0.25">
      <c r="A20" s="5" t="s">
        <v>16</v>
      </c>
      <c r="B20" s="6" t="s">
        <v>17</v>
      </c>
      <c r="C20" s="6" t="s">
        <v>18</v>
      </c>
      <c r="D20" s="6" t="s">
        <v>8</v>
      </c>
      <c r="E20" s="7">
        <v>0.79</v>
      </c>
      <c r="G20"/>
    </row>
    <row r="21" spans="1:12" ht="13" x14ac:dyDescent="0.3">
      <c r="A21" s="5" t="s">
        <v>42</v>
      </c>
      <c r="B21" s="6" t="s">
        <v>6</v>
      </c>
      <c r="C21" s="6" t="s">
        <v>18</v>
      </c>
      <c r="D21" s="6" t="s">
        <v>8</v>
      </c>
      <c r="E21" s="9">
        <v>0.39</v>
      </c>
      <c r="G21" s="25" t="s">
        <v>60</v>
      </c>
      <c r="H21" s="25"/>
    </row>
    <row r="22" spans="1:12" x14ac:dyDescent="0.25">
      <c r="A22" s="5" t="s">
        <v>41</v>
      </c>
      <c r="B22" s="6" t="s">
        <v>17</v>
      </c>
      <c r="C22" s="6" t="s">
        <v>18</v>
      </c>
      <c r="D22" s="6" t="s">
        <v>12</v>
      </c>
      <c r="E22" s="9">
        <v>3.99</v>
      </c>
      <c r="G22" s="21"/>
      <c r="H22" s="21"/>
    </row>
    <row r="23" spans="1:12" x14ac:dyDescent="0.25">
      <c r="A23" s="5" t="s">
        <v>35</v>
      </c>
      <c r="B23" s="6" t="s">
        <v>31</v>
      </c>
      <c r="C23" s="6" t="s">
        <v>7</v>
      </c>
      <c r="D23" s="6" t="s">
        <v>12</v>
      </c>
      <c r="E23" s="8">
        <v>15.99</v>
      </c>
      <c r="G23" s="20" t="s">
        <v>52</v>
      </c>
      <c r="H23" s="19" t="s">
        <v>12</v>
      </c>
    </row>
    <row r="24" spans="1:12" x14ac:dyDescent="0.25">
      <c r="A24" s="5" t="s">
        <v>30</v>
      </c>
      <c r="B24" s="6" t="s">
        <v>31</v>
      </c>
      <c r="C24" s="6" t="s">
        <v>7</v>
      </c>
      <c r="D24" s="6" t="s">
        <v>12</v>
      </c>
      <c r="E24" s="8">
        <v>3.99</v>
      </c>
      <c r="G24" s="20" t="s">
        <v>53</v>
      </c>
      <c r="H24" s="23" t="str">
        <f>_xlfn.XLOOKUP(H23,D2:D27,A2:A27,,0,1)</f>
        <v>Acer Purpureum</v>
      </c>
    </row>
    <row r="25" spans="1:12" x14ac:dyDescent="0.25">
      <c r="A25" s="5" t="s">
        <v>25</v>
      </c>
      <c r="B25" s="6" t="s">
        <v>26</v>
      </c>
      <c r="C25" s="6" t="s">
        <v>7</v>
      </c>
      <c r="D25" s="6" t="s">
        <v>15</v>
      </c>
      <c r="E25" s="8">
        <v>8.99</v>
      </c>
      <c r="G25" s="20" t="s">
        <v>54</v>
      </c>
      <c r="H25" s="23" t="str">
        <f>_xlfn.XLOOKUP(H23,D2:D27,A2:A27,,0,-1)</f>
        <v>Rosa</v>
      </c>
    </row>
    <row r="26" spans="1:12" x14ac:dyDescent="0.25">
      <c r="A26" s="5" t="s">
        <v>36</v>
      </c>
      <c r="B26" s="6" t="s">
        <v>17</v>
      </c>
      <c r="C26" s="6" t="s">
        <v>18</v>
      </c>
      <c r="D26" s="6" t="s">
        <v>8</v>
      </c>
      <c r="E26" s="8">
        <v>0.79</v>
      </c>
      <c r="G26"/>
    </row>
    <row r="27" spans="1:12" x14ac:dyDescent="0.25">
      <c r="A27" s="10" t="s">
        <v>40</v>
      </c>
      <c r="B27" s="11" t="s">
        <v>31</v>
      </c>
      <c r="C27" s="11" t="s">
        <v>11</v>
      </c>
      <c r="D27" s="11" t="s">
        <v>8</v>
      </c>
      <c r="E27" s="16">
        <v>11.99</v>
      </c>
      <c r="G27" s="20"/>
    </row>
    <row r="28" spans="1:12" x14ac:dyDescent="0.25">
      <c r="G28"/>
    </row>
    <row r="29" spans="1:12" x14ac:dyDescent="0.25">
      <c r="G29"/>
    </row>
    <row r="30" spans="1:12" x14ac:dyDescent="0.25">
      <c r="G30"/>
    </row>
    <row r="31" spans="1:12" x14ac:dyDescent="0.25">
      <c r="G31"/>
    </row>
    <row r="32" spans="1:12" x14ac:dyDescent="0.25">
      <c r="G32"/>
    </row>
    <row r="33" spans="7:7" x14ac:dyDescent="0.25">
      <c r="G33" s="17"/>
    </row>
    <row r="34" spans="7:7" x14ac:dyDescent="0.25">
      <c r="G34" s="17"/>
    </row>
    <row r="35" spans="7:7" x14ac:dyDescent="0.25">
      <c r="G35" s="17"/>
    </row>
    <row r="36" spans="7:7" x14ac:dyDescent="0.25">
      <c r="G36" s="17"/>
    </row>
    <row r="37" spans="7:7" x14ac:dyDescent="0.25">
      <c r="G37" s="17"/>
    </row>
    <row r="38" spans="7:7" x14ac:dyDescent="0.25">
      <c r="G38" s="17"/>
    </row>
    <row r="39" spans="7:7" x14ac:dyDescent="0.25">
      <c r="G39" s="17"/>
    </row>
    <row r="40" spans="7:7" x14ac:dyDescent="0.25">
      <c r="G40" s="17"/>
    </row>
    <row r="41" spans="7:7" x14ac:dyDescent="0.25">
      <c r="G41" s="17"/>
    </row>
    <row r="42" spans="7:7" x14ac:dyDescent="0.25">
      <c r="G42" s="17"/>
    </row>
    <row r="43" spans="7:7" x14ac:dyDescent="0.25">
      <c r="G43" s="17"/>
    </row>
  </sheetData>
  <sortState xmlns:xlrd2="http://schemas.microsoft.com/office/spreadsheetml/2017/richdata2" ref="A4:E44">
    <sortCondition ref="A8"/>
  </sortState>
  <mergeCells count="5">
    <mergeCell ref="G2:H2"/>
    <mergeCell ref="G9:K9"/>
    <mergeCell ref="I5:K6"/>
    <mergeCell ref="G21:H21"/>
    <mergeCell ref="G15:L15"/>
  </mergeCells>
  <phoneticPr fontId="0" type="noConversion"/>
  <pageMargins left="0.75" right="0.75" top="1" bottom="1" header="0.5" footer="0.5"/>
  <pageSetup paperSize="9" orientation="portrait" horizont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(Night-scented) stock list</vt:lpstr>
    </vt:vector>
  </TitlesOfParts>
  <Company>shell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</dc:creator>
  <cp:lastModifiedBy>Khoo Zi Wei</cp:lastModifiedBy>
  <cp:lastPrinted>2002-02-02T09:30:59Z</cp:lastPrinted>
  <dcterms:created xsi:type="dcterms:W3CDTF">1998-03-10T08:30:08Z</dcterms:created>
  <dcterms:modified xsi:type="dcterms:W3CDTF">2025-12-12T10:17:41Z</dcterms:modified>
</cp:coreProperties>
</file>