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60\"/>
    </mc:Choice>
  </mc:AlternateContent>
  <xr:revisionPtr revIDLastSave="0" documentId="13_ncr:1_{1731DE24-B1C0-40D2-8A5D-B7D5526830E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overComp">Cover!$D$5</definedName>
    <definedName name="CoverStartYear">Cover!$D$13</definedName>
    <definedName name="CstCouncilTax">Calculations!$E$8</definedName>
    <definedName name="CstCouncilTaxBand">Calculations!$E$7</definedName>
    <definedName name="CstCouncilTaxBase">Calculations!$E$6</definedName>
    <definedName name="CstHousePriceInflator">Inputs!#REF!</definedName>
    <definedName name="CstHousingPrice">Inputs!$E$14</definedName>
    <definedName name="CstHousingRate">Inputs!$F$15:$O$15</definedName>
    <definedName name="CstLivingDaily">Inputs!$F$10:$O$10</definedName>
    <definedName name="CstLivingLoose">Inputs!$F$11:$O$11</definedName>
    <definedName name="ModelYear">Inputs!$F$3:$O$3</definedName>
    <definedName name="NetCstHousing">Calculations!$F$13:$O$13</definedName>
    <definedName name="NetCstLiving">Calculations!$F$12:$O$12</definedName>
    <definedName name="NetIncome">Calculations!$F$15:$O$15</definedName>
    <definedName name="NetRev">Calculations!$F$11:$O$11</definedName>
    <definedName name="RevDownloads">Inputs!$F$7:$O$7</definedName>
    <definedName name="RevMultiple">Inputs!#REF!</definedName>
    <definedName name="RevTouring">Inputs!$F$6:$O$6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5" l="1"/>
  <c r="N14" i="5" s="1"/>
  <c r="E7" i="5"/>
  <c r="F13" i="5" a="1"/>
  <c r="F13" i="5" s="1"/>
  <c r="E6" i="5"/>
  <c r="J14" i="5" l="1"/>
  <c r="I14" i="5"/>
  <c r="L14" i="5"/>
  <c r="H14" i="5"/>
  <c r="K14" i="5"/>
  <c r="O14" i="5"/>
  <c r="G14" i="5"/>
  <c r="M14" i="5"/>
  <c r="F14" i="5"/>
  <c r="F12" i="5" a="1"/>
  <c r="F12" i="5" s="1"/>
  <c r="D13" i="4"/>
  <c r="G6" i="2" l="1"/>
  <c r="F3" i="2"/>
  <c r="G3" i="2" s="1"/>
  <c r="H3" i="2" s="1"/>
  <c r="I3" i="2" s="1"/>
  <c r="J3" i="2" s="1"/>
  <c r="K3" i="2" s="1"/>
  <c r="L3" i="2" s="1"/>
  <c r="M3" i="2" s="1"/>
  <c r="N3" i="2" s="1"/>
  <c r="O3" i="2" s="1"/>
  <c r="H6" i="2" l="1"/>
  <c r="F3" i="5"/>
  <c r="G3" i="5" s="1"/>
  <c r="H3" i="5" s="1"/>
  <c r="I3" i="5" s="1"/>
  <c r="J3" i="5" s="1"/>
  <c r="K3" i="5" s="1"/>
  <c r="L3" i="5" s="1"/>
  <c r="M3" i="5" s="1"/>
  <c r="N3" i="5" s="1"/>
  <c r="O3" i="5" s="1"/>
  <c r="F11" i="5" l="1" a="1"/>
  <c r="H15" i="5" s="1"/>
  <c r="F11" i="5" l="1"/>
  <c r="F15" i="5" s="1"/>
  <c r="O15" i="5"/>
  <c r="K15" i="5"/>
  <c r="J15" i="5"/>
  <c r="M15" i="5"/>
  <c r="I15" i="5"/>
  <c r="L15" i="5"/>
  <c r="N15" i="5"/>
  <c r="G1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<sst xmlns="http://schemas.openxmlformats.org/spreadsheetml/2006/main" count="72" uniqueCount="56">
  <si>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</si>
  <si>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</si>
  <si>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</si>
  <si>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</si>
  <si>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</si>
  <si>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</si>
  <si>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</si>
  <si>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</si>
  <si>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</si>
  <si>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</si>
  <si>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</si>
  <si>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</si>
  <si>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</si>
  <si>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</si>
  <si>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</si>
  <si>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</si>
  <si>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</si>
  <si>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</si>
  <si>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</si>
  <si>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</si>
  <si>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</si>
  <si>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</si>
  <si>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</si>
  <si>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</si>
  <si>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</si>
  <si>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</si>
  <si>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</si>
  <si>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</si>
  <si>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</si>
  <si>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</si>
  <si>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</si>
  <si>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</si>
  <si>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</si>
  <si>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</si>
  <si>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</si>
  <si>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Council tax</t>
  </si>
  <si>
    <t>Council tax calculator</t>
  </si>
  <si>
    <t>Price at 01/04/1991</t>
  </si>
  <si>
    <t>CstCouncilTaxBase</t>
  </si>
  <si>
    <t>CstCouncilTax</t>
  </si>
  <si>
    <t>NetCstCouncilTax</t>
  </si>
  <si>
    <t>Council tax band</t>
  </si>
  <si>
    <t>N/A</t>
  </si>
  <si>
    <t>CstCouncilTaxBand</t>
  </si>
  <si>
    <t>Choose your game show!</t>
  </si>
  <si>
    <t>£</t>
  </si>
  <si>
    <t>Price range</t>
  </si>
  <si>
    <t>Band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</si>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</sst>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#,##0.0_);\(#,##0.0\)"/>
    <numFmt numFmtId="171" formatCode="_-[$£-809]* #,##0_-;\-[$£-809]* #,##0_-;_-[$£-809]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FFFFFF"/>
      <name val="Arial"/>
      <family val="2"/>
    </font>
    <font>
      <sz val="7"/>
      <color rgb="FF09090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75E7A"/>
        <bgColor indexed="64"/>
      </patternFill>
    </fill>
    <fill>
      <patternFill patternType="solid">
        <fgColor rgb="FFEEEEEE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75E7A"/>
      </left>
      <right/>
      <top style="medium">
        <color rgb="FF075E7A"/>
      </top>
      <bottom/>
      <diagonal/>
    </border>
    <border>
      <left/>
      <right/>
      <top style="medium">
        <color rgb="FF075E7A"/>
      </top>
      <bottom/>
      <diagonal/>
    </border>
    <border>
      <left/>
      <right style="medium">
        <color rgb="FF075E7A"/>
      </right>
      <top style="medium">
        <color rgb="FF075E7A"/>
      </top>
      <bottom/>
      <diagonal/>
    </border>
    <border>
      <left style="medium">
        <color rgb="FF075E7A"/>
      </left>
      <right/>
      <top/>
      <bottom/>
      <diagonal/>
    </border>
    <border>
      <left/>
      <right style="medium">
        <color rgb="FF075E7A"/>
      </right>
      <top/>
      <bottom/>
      <diagonal/>
    </border>
    <border>
      <left style="medium">
        <color rgb="FF075E7A"/>
      </left>
      <right/>
      <top/>
      <bottom style="medium">
        <color rgb="FF075E7A"/>
      </bottom>
      <diagonal/>
    </border>
    <border>
      <left/>
      <right/>
      <top/>
      <bottom style="medium">
        <color rgb="FF075E7A"/>
      </bottom>
      <diagonal/>
    </border>
    <border>
      <left/>
      <right style="medium">
        <color rgb="FF075E7A"/>
      </right>
      <top/>
      <bottom style="medium">
        <color rgb="FF075E7A"/>
      </bottom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37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37" fontId="1" fillId="0" borderId="0"/>
  </cellStyleXfs>
  <cellXfs count="49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37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37" fontId="1" fillId="0" borderId="11" xfId="9" applyBorder="1"/>
    <xf numFmtId="0" fontId="2" fillId="6" borderId="0" xfId="4" applyFill="1"/>
    <xf numFmtId="0" fontId="2" fillId="6" borderId="0" xfId="7" applyFill="1">
      <alignment horizontal="center"/>
    </xf>
    <xf numFmtId="0" fontId="0" fillId="6" borderId="0" xfId="0" applyFill="1"/>
    <xf numFmtId="0" fontId="5" fillId="6" borderId="0" xfId="3" applyFill="1"/>
    <xf numFmtId="37" fontId="1" fillId="0" borderId="0" xfId="9"/>
    <xf numFmtId="37" fontId="1" fillId="7" borderId="0" xfId="9" applyFill="1"/>
    <xf numFmtId="39" fontId="1" fillId="5" borderId="1" xfId="5" applyNumberFormat="1" applyAlignment="1"/>
    <xf numFmtId="39" fontId="1" fillId="8" borderId="0" xfId="9" applyNumberFormat="1" applyFill="1"/>
    <xf numFmtId="166" fontId="1" fillId="0" borderId="0" xfId="9" applyNumberFormat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7" fillId="9" borderId="0" xfId="0" applyFont="1" applyFill="1" applyAlignment="1">
      <alignment horizontal="left" vertical="center" wrapText="1"/>
    </xf>
    <xf numFmtId="0" fontId="7" fillId="11" borderId="0" xfId="0" applyFont="1" applyFill="1" applyAlignment="1">
      <alignment horizontal="left" vertical="center" wrapText="1"/>
    </xf>
    <xf numFmtId="0" fontId="6" fillId="10" borderId="13" xfId="0" applyFont="1" applyFill="1" applyBorder="1" applyAlignment="1">
      <alignment horizontal="left" vertical="center" wrapText="1"/>
    </xf>
    <xf numFmtId="0" fontId="6" fillId="10" borderId="14" xfId="0" applyFont="1" applyFill="1" applyBorder="1" applyAlignment="1">
      <alignment horizontal="left" vertical="center" wrapText="1"/>
    </xf>
    <xf numFmtId="0" fontId="6" fillId="10" borderId="15" xfId="0" applyFont="1" applyFill="1" applyBorder="1" applyAlignment="1">
      <alignment horizontal="left" vertical="center" wrapText="1"/>
    </xf>
    <xf numFmtId="0" fontId="7" fillId="11" borderId="19" xfId="0" applyFont="1" applyFill="1" applyBorder="1" applyAlignment="1">
      <alignment horizontal="left" vertical="center" wrapText="1"/>
    </xf>
    <xf numFmtId="171" fontId="7" fillId="9" borderId="16" xfId="0" applyNumberFormat="1" applyFont="1" applyFill="1" applyBorder="1" applyAlignment="1">
      <alignment horizontal="left" vertical="center" wrapText="1"/>
    </xf>
    <xf numFmtId="171" fontId="7" fillId="11" borderId="16" xfId="0" applyNumberFormat="1" applyFont="1" applyFill="1" applyBorder="1" applyAlignment="1">
      <alignment horizontal="left" vertical="center" wrapText="1"/>
    </xf>
    <xf numFmtId="171" fontId="7" fillId="11" borderId="18" xfId="0" applyNumberFormat="1" applyFont="1" applyFill="1" applyBorder="1" applyAlignment="1">
      <alignment horizontal="left" vertical="center" wrapText="1"/>
    </xf>
    <xf numFmtId="2" fontId="0" fillId="7" borderId="0" xfId="0" applyNumberFormat="1" applyFill="1"/>
    <xf numFmtId="1" fontId="7" fillId="9" borderId="17" xfId="0" applyNumberFormat="1" applyFont="1" applyFill="1" applyBorder="1" applyAlignment="1">
      <alignment horizontal="left" vertical="center" wrapText="1"/>
    </xf>
    <xf numFmtId="1" fontId="7" fillId="11" borderId="17" xfId="0" applyNumberFormat="1" applyFont="1" applyFill="1" applyBorder="1" applyAlignment="1">
      <alignment horizontal="left" vertical="center" wrapText="1"/>
    </xf>
    <xf numFmtId="1" fontId="7" fillId="11" borderId="20" xfId="0" applyNumberFormat="1" applyFont="1" applyFill="1" applyBorder="1" applyAlignment="1">
      <alignment horizontal="left" vertical="center" wrapText="1"/>
    </xf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13" sqref="D13"/>
    </sheetView>
  </sheetViews>
  <sheetFormatPr defaultColWidth="0" defaultRowHeight="14.5" zeroHeight="1" x14ac:dyDescent="0.35"/>
  <cols>
    <col min="1" max="1" width="4.08984375" customWidth="1"/>
    <col min="2" max="2" width="3.453125" customWidth="1"/>
    <col min="3" max="3" width="16.453125" customWidth="1"/>
    <col min="4" max="4" width="29.90625" customWidth="1"/>
    <col min="5" max="5" width="3.54296875" customWidth="1"/>
    <col min="6" max="6" width="5" customWidth="1"/>
    <col min="7" max="16384" width="9.08984375" hidden="1"/>
  </cols>
  <sheetData>
    <row r="1" spans="2:5" ht="24.75" customHeight="1" thickBot="1" x14ac:dyDescent="0.4"/>
    <row r="2" spans="2:5" ht="9.75" customHeight="1" x14ac:dyDescent="0.35">
      <c r="B2" s="4"/>
      <c r="C2" s="5"/>
      <c r="D2" s="5"/>
      <c r="E2" s="6"/>
    </row>
    <row r="3" spans="2:5" ht="1.5" customHeight="1" x14ac:dyDescent="0.35">
      <c r="B3" s="7"/>
      <c r="E3" s="8"/>
    </row>
    <row r="4" spans="2:5" ht="9.75" customHeight="1" x14ac:dyDescent="0.35">
      <c r="B4" s="7"/>
      <c r="E4" s="8"/>
    </row>
    <row r="5" spans="2:5" ht="18.75" customHeight="1" x14ac:dyDescent="0.35">
      <c r="B5" s="7"/>
      <c r="C5" s="1" t="s">
        <v>5</v>
      </c>
      <c r="D5" s="13" t="s">
        <v>44</v>
      </c>
      <c r="E5" s="8"/>
    </row>
    <row r="6" spans="2:5" x14ac:dyDescent="0.35">
      <c r="B6" s="7"/>
      <c r="C6" s="1"/>
      <c r="E6" s="8"/>
    </row>
    <row r="7" spans="2:5" ht="20.25" customHeight="1" x14ac:dyDescent="0.35">
      <c r="B7" s="7"/>
      <c r="C7" s="1" t="s">
        <v>3</v>
      </c>
      <c r="D7" s="13" t="s">
        <v>4</v>
      </c>
      <c r="E7" s="8"/>
    </row>
    <row r="8" spans="2:5" x14ac:dyDescent="0.35">
      <c r="B8" s="7"/>
      <c r="E8" s="8"/>
    </row>
    <row r="9" spans="2:5" ht="18.75" customHeight="1" x14ac:dyDescent="0.35">
      <c r="B9" s="7"/>
      <c r="C9" s="3" t="s">
        <v>0</v>
      </c>
      <c r="D9" s="14">
        <v>1</v>
      </c>
      <c r="E9" s="8"/>
    </row>
    <row r="10" spans="2:5" x14ac:dyDescent="0.35">
      <c r="B10" s="7"/>
      <c r="C10" s="3"/>
      <c r="E10" s="8"/>
    </row>
    <row r="11" spans="2:5" ht="19.5" customHeight="1" x14ac:dyDescent="0.35">
      <c r="B11" s="7"/>
      <c r="C11" s="3" t="s">
        <v>1</v>
      </c>
      <c r="D11" s="2" t="s">
        <v>2</v>
      </c>
      <c r="E11" s="8"/>
    </row>
    <row r="12" spans="2:5" ht="15.75" customHeight="1" x14ac:dyDescent="0.35">
      <c r="B12" s="7"/>
      <c r="C12" s="3"/>
      <c r="E12" s="8"/>
    </row>
    <row r="13" spans="2:5" ht="19.5" customHeight="1" x14ac:dyDescent="0.35">
      <c r="B13" s="7"/>
      <c r="C13" s="3" t="s">
        <v>6</v>
      </c>
      <c r="D13" s="2">
        <f ca="1">YEAR(TODAY())</f>
        <v>2025</v>
      </c>
      <c r="E13" s="8"/>
    </row>
    <row r="14" spans="2:5" ht="15" thickBot="1" x14ac:dyDescent="0.4">
      <c r="B14" s="9"/>
      <c r="C14" s="10"/>
      <c r="D14" s="11"/>
      <c r="E14" s="12"/>
    </row>
    <row r="15" spans="2:5" ht="22.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1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G29" sqref="G29"/>
    </sheetView>
  </sheetViews>
  <sheetFormatPr defaultRowHeight="14.5" x14ac:dyDescent="0.35"/>
  <cols>
    <col min="2" max="2" width="20.453125" style="17" customWidth="1"/>
    <col min="3" max="3" width="5.6328125" customWidth="1"/>
    <col min="4" max="4" width="9.08984375" style="20"/>
    <col min="6" max="6" width="9.08984375" customWidth="1"/>
    <col min="16" max="16" width="14" style="19" bestFit="1" customWidth="1"/>
  </cols>
  <sheetData>
    <row r="2" spans="1:16" x14ac:dyDescent="0.35">
      <c r="F2" s="33" t="s">
        <v>8</v>
      </c>
      <c r="G2" s="34"/>
      <c r="H2" s="34"/>
      <c r="I2" s="34"/>
      <c r="J2" s="34"/>
      <c r="K2" s="34"/>
      <c r="L2" s="34"/>
      <c r="M2" s="34"/>
      <c r="N2" s="34"/>
      <c r="O2" s="35"/>
    </row>
    <row r="3" spans="1:16" x14ac:dyDescent="0.35"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ht="10.5" customHeight="1" x14ac:dyDescent="0.35"/>
    <row r="5" spans="1:16" x14ac:dyDescent="0.35">
      <c r="A5" s="16" t="s">
        <v>10</v>
      </c>
    </row>
    <row r="6" spans="1:16" x14ac:dyDescent="0.35">
      <c r="B6" s="17" t="s">
        <v>11</v>
      </c>
      <c r="D6" s="20" t="s">
        <v>12</v>
      </c>
      <c r="F6" s="18">
        <v>800</v>
      </c>
      <c r="G6" s="18">
        <f>F6*0.75</f>
        <v>600</v>
      </c>
      <c r="H6" s="18">
        <f t="shared" ref="H6" si="1">G6*0.75</f>
        <v>450</v>
      </c>
      <c r="I6" s="18">
        <v>337</v>
      </c>
      <c r="J6" s="18">
        <v>253</v>
      </c>
      <c r="K6" s="18">
        <v>190</v>
      </c>
      <c r="L6" s="18">
        <v>142</v>
      </c>
      <c r="M6" s="18">
        <v>106</v>
      </c>
      <c r="N6" s="18">
        <v>80</v>
      </c>
      <c r="O6" s="18">
        <v>60</v>
      </c>
      <c r="P6" s="19" t="s">
        <v>13</v>
      </c>
    </row>
    <row r="7" spans="1:16" x14ac:dyDescent="0.35">
      <c r="B7" s="17" t="s">
        <v>14</v>
      </c>
      <c r="D7" s="20" t="s">
        <v>12</v>
      </c>
      <c r="F7" s="18">
        <v>900</v>
      </c>
      <c r="G7" s="18">
        <v>850</v>
      </c>
      <c r="H7" s="18">
        <v>800</v>
      </c>
      <c r="I7" s="18">
        <v>750</v>
      </c>
      <c r="J7" s="18">
        <v>700</v>
      </c>
      <c r="K7" s="18">
        <v>650</v>
      </c>
      <c r="L7" s="18">
        <v>600</v>
      </c>
      <c r="M7" s="18">
        <v>550</v>
      </c>
      <c r="N7" s="18">
        <v>500</v>
      </c>
      <c r="O7" s="18">
        <v>450</v>
      </c>
      <c r="P7" s="19" t="s">
        <v>15</v>
      </c>
    </row>
    <row r="9" spans="1:16" x14ac:dyDescent="0.35">
      <c r="A9" s="16" t="s">
        <v>18</v>
      </c>
    </row>
    <row r="10" spans="1:16" x14ac:dyDescent="0.35">
      <c r="B10" s="17" t="s">
        <v>16</v>
      </c>
      <c r="D10" s="20" t="s">
        <v>12</v>
      </c>
      <c r="F10" s="18">
        <v>-300</v>
      </c>
      <c r="G10" s="18">
        <v>-300</v>
      </c>
      <c r="H10" s="18">
        <v>-300</v>
      </c>
      <c r="I10" s="18">
        <v>-300</v>
      </c>
      <c r="J10" s="18">
        <v>-300</v>
      </c>
      <c r="K10" s="18">
        <v>-300</v>
      </c>
      <c r="L10" s="18">
        <v>-300</v>
      </c>
      <c r="M10" s="18">
        <v>-300</v>
      </c>
      <c r="N10" s="18">
        <v>-300</v>
      </c>
      <c r="O10" s="18">
        <v>-300</v>
      </c>
      <c r="P10" s="19" t="s">
        <v>22</v>
      </c>
    </row>
    <row r="11" spans="1:16" x14ac:dyDescent="0.35">
      <c r="B11" s="17" t="s">
        <v>17</v>
      </c>
      <c r="D11" s="20" t="s">
        <v>12</v>
      </c>
      <c r="F11" s="18">
        <v>-200</v>
      </c>
      <c r="G11" s="18">
        <v>-200</v>
      </c>
      <c r="H11" s="18">
        <v>-200</v>
      </c>
      <c r="I11" s="18">
        <v>-200</v>
      </c>
      <c r="J11" s="18">
        <v>-200</v>
      </c>
      <c r="K11" s="18">
        <v>-200</v>
      </c>
      <c r="L11" s="18">
        <v>-200</v>
      </c>
      <c r="M11" s="18">
        <v>-200</v>
      </c>
      <c r="N11" s="18">
        <v>-200</v>
      </c>
      <c r="O11" s="18">
        <v>-200</v>
      </c>
      <c r="P11" s="19" t="s">
        <v>23</v>
      </c>
    </row>
    <row r="13" spans="1:16" x14ac:dyDescent="0.35">
      <c r="A13" s="16" t="s">
        <v>19</v>
      </c>
    </row>
    <row r="14" spans="1:16" x14ac:dyDescent="0.35">
      <c r="B14" s="17" t="s">
        <v>20</v>
      </c>
      <c r="D14" s="20" t="s">
        <v>12</v>
      </c>
      <c r="E14" s="30">
        <v>297.5</v>
      </c>
      <c r="F14" s="19" t="s">
        <v>25</v>
      </c>
    </row>
    <row r="15" spans="1:16" x14ac:dyDescent="0.35">
      <c r="B15" s="17" t="s">
        <v>24</v>
      </c>
      <c r="D15" s="20" t="s">
        <v>21</v>
      </c>
      <c r="F15" s="22">
        <v>0.04</v>
      </c>
      <c r="G15" s="22">
        <v>4.4999999999999998E-2</v>
      </c>
      <c r="H15" s="22">
        <v>0.05</v>
      </c>
      <c r="I15" s="22">
        <v>5.5E-2</v>
      </c>
      <c r="J15" s="22">
        <v>0.06</v>
      </c>
      <c r="K15" s="22">
        <v>6.5000000000000002E-2</v>
      </c>
      <c r="L15" s="22">
        <v>7.0000000000000007E-2</v>
      </c>
      <c r="M15" s="22">
        <v>7.4999999999999997E-2</v>
      </c>
      <c r="N15" s="22">
        <v>0.08</v>
      </c>
      <c r="O15" s="22">
        <v>8.5000000000000006E-2</v>
      </c>
      <c r="P15" s="19" t="s">
        <v>26</v>
      </c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33"/>
  <sheetViews>
    <sheetView tabSelected="1" topLeftCell="A7" zoomScale="140" zoomScaleNormal="140" workbookViewId="0">
      <selection activeCell="H19" sqref="H19"/>
    </sheetView>
  </sheetViews>
  <sheetFormatPr defaultRowHeight="14.5" x14ac:dyDescent="0.35"/>
  <cols>
    <col min="2" max="2" width="18.453125" style="17" bestFit="1" customWidth="1"/>
    <col min="3" max="3" width="3.453125" customWidth="1"/>
    <col min="4" max="4" width="9.08984375" style="20"/>
    <col min="5" max="5" width="9.08984375" customWidth="1"/>
    <col min="6" max="6" width="10.54296875" bestFit="1" customWidth="1"/>
    <col min="16" max="16" width="12.90625" style="19" customWidth="1"/>
  </cols>
  <sheetData>
    <row r="2" spans="1:16" x14ac:dyDescent="0.35">
      <c r="F2" s="33" t="s">
        <v>8</v>
      </c>
      <c r="G2" s="34"/>
      <c r="H2" s="34"/>
      <c r="I2" s="34"/>
      <c r="J2" s="34"/>
      <c r="K2" s="34"/>
      <c r="L2" s="34"/>
      <c r="M2" s="34"/>
      <c r="N2" s="34"/>
      <c r="O2" s="35"/>
    </row>
    <row r="3" spans="1:16" x14ac:dyDescent="0.35"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ht="10.5" customHeight="1" x14ac:dyDescent="0.35"/>
    <row r="5" spans="1:16" ht="15" customHeight="1" x14ac:dyDescent="0.35">
      <c r="A5" s="27" t="s">
        <v>36</v>
      </c>
      <c r="B5" s="24"/>
      <c r="C5" s="26"/>
      <c r="D5" s="25"/>
    </row>
    <row r="6" spans="1:16" ht="13.5" customHeight="1" x14ac:dyDescent="0.35">
      <c r="A6" s="26"/>
      <c r="B6" s="24" t="s">
        <v>37</v>
      </c>
      <c r="C6" s="26"/>
      <c r="D6" s="25" t="s">
        <v>12</v>
      </c>
      <c r="E6" s="31">
        <f>CstHousingPrice</f>
        <v>297.5</v>
      </c>
      <c r="F6" s="19" t="s">
        <v>38</v>
      </c>
    </row>
    <row r="7" spans="1:16" ht="13.5" customHeight="1" x14ac:dyDescent="0.35">
      <c r="A7" s="26"/>
      <c r="B7" s="24" t="s">
        <v>41</v>
      </c>
      <c r="C7" s="26"/>
      <c r="D7" s="25" t="s">
        <v>42</v>
      </c>
      <c r="E7" s="29" t="str">
        <f>VLOOKUP(CstCouncilTaxBase,$D$26:$F$33,2,TRUE)</f>
        <v>E</v>
      </c>
      <c r="F7" s="19" t="s">
        <v>43</v>
      </c>
    </row>
    <row r="8" spans="1:16" ht="12.75" customHeight="1" x14ac:dyDescent="0.35">
      <c r="A8" s="26"/>
      <c r="B8" s="24" t="s">
        <v>35</v>
      </c>
      <c r="C8" s="26"/>
      <c r="D8" s="25" t="s">
        <v>45</v>
      </c>
      <c r="E8" s="45">
        <f>VLOOKUP(CstCouncilTaxBase,$D$26:$F$33,3,TRUE)</f>
        <v>1800</v>
      </c>
      <c r="F8" s="19" t="s">
        <v>39</v>
      </c>
      <c r="P8"/>
    </row>
    <row r="9" spans="1:16" ht="10.5" customHeight="1" x14ac:dyDescent="0.35"/>
    <row r="10" spans="1:16" x14ac:dyDescent="0.35">
      <c r="A10" s="16" t="s">
        <v>30</v>
      </c>
    </row>
    <row r="11" spans="1:16" x14ac:dyDescent="0.35">
      <c r="B11" s="17" t="s">
        <v>27</v>
      </c>
      <c r="D11" s="20" t="s">
        <v>12</v>
      </c>
      <c r="F11" s="28" cm="1">
        <f t="array" ref="F11:O11">RevDownloads+RevTouring</f>
        <v>1700</v>
      </c>
      <c r="G11" s="28">
        <v>1450</v>
      </c>
      <c r="H11" s="28">
        <v>1250</v>
      </c>
      <c r="I11" s="28">
        <v>1087</v>
      </c>
      <c r="J11" s="28">
        <v>953</v>
      </c>
      <c r="K11" s="28">
        <v>840</v>
      </c>
      <c r="L11" s="28">
        <v>742</v>
      </c>
      <c r="M11" s="28">
        <v>656</v>
      </c>
      <c r="N11" s="28">
        <v>580</v>
      </c>
      <c r="O11" s="28">
        <v>510</v>
      </c>
      <c r="P11" s="19" t="s">
        <v>31</v>
      </c>
    </row>
    <row r="12" spans="1:16" x14ac:dyDescent="0.35">
      <c r="B12" s="17" t="s">
        <v>28</v>
      </c>
      <c r="D12" s="20" t="s">
        <v>12</v>
      </c>
      <c r="F12" s="28" cm="1">
        <f t="array" ref="F12:O12">CstLivingDaily+CstLivingLoose</f>
        <v>-500</v>
      </c>
      <c r="G12" s="28">
        <v>-500</v>
      </c>
      <c r="H12" s="28">
        <v>-500</v>
      </c>
      <c r="I12" s="28">
        <v>-500</v>
      </c>
      <c r="J12" s="28">
        <v>-500</v>
      </c>
      <c r="K12" s="28">
        <v>-500</v>
      </c>
      <c r="L12" s="28">
        <v>-500</v>
      </c>
      <c r="M12" s="28">
        <v>-500</v>
      </c>
      <c r="N12" s="28">
        <v>-500</v>
      </c>
      <c r="O12" s="28">
        <v>-500</v>
      </c>
      <c r="P12" s="19" t="s">
        <v>32</v>
      </c>
    </row>
    <row r="13" spans="1:16" x14ac:dyDescent="0.35">
      <c r="B13" s="17" t="s">
        <v>29</v>
      </c>
      <c r="D13" s="20" t="s">
        <v>12</v>
      </c>
      <c r="F13" s="28" cm="1">
        <f t="array" ref="F13:O13">-CstHousingPrice*CstHousingRate</f>
        <v>-11.9</v>
      </c>
      <c r="G13" s="28">
        <v>-13.387499999999999</v>
      </c>
      <c r="H13" s="28">
        <v>-14.875</v>
      </c>
      <c r="I13" s="28">
        <v>-16.362500000000001</v>
      </c>
      <c r="J13" s="28">
        <v>-17.849999999999998</v>
      </c>
      <c r="K13" s="28">
        <v>-19.337500000000002</v>
      </c>
      <c r="L13" s="28">
        <v>-20.825000000000003</v>
      </c>
      <c r="M13" s="28">
        <v>-22.3125</v>
      </c>
      <c r="N13" s="28">
        <v>-23.8</v>
      </c>
      <c r="O13" s="28">
        <v>-25.287500000000001</v>
      </c>
      <c r="P13" s="19" t="s">
        <v>33</v>
      </c>
    </row>
    <row r="14" spans="1:16" x14ac:dyDescent="0.35">
      <c r="A14" s="26"/>
      <c r="B14" s="24" t="s">
        <v>35</v>
      </c>
      <c r="C14" s="26"/>
      <c r="D14" s="25" t="s">
        <v>12</v>
      </c>
      <c r="F14" s="32">
        <f t="shared" ref="F14:O14" si="1">-CstCouncilTax/1000</f>
        <v>-1.8</v>
      </c>
      <c r="G14" s="32">
        <f t="shared" si="1"/>
        <v>-1.8</v>
      </c>
      <c r="H14" s="32">
        <f t="shared" si="1"/>
        <v>-1.8</v>
      </c>
      <c r="I14" s="32">
        <f t="shared" si="1"/>
        <v>-1.8</v>
      </c>
      <c r="J14" s="32">
        <f t="shared" si="1"/>
        <v>-1.8</v>
      </c>
      <c r="K14" s="32">
        <f t="shared" si="1"/>
        <v>-1.8</v>
      </c>
      <c r="L14" s="32">
        <f t="shared" si="1"/>
        <v>-1.8</v>
      </c>
      <c r="M14" s="32">
        <f t="shared" si="1"/>
        <v>-1.8</v>
      </c>
      <c r="N14" s="32">
        <f t="shared" si="1"/>
        <v>-1.8</v>
      </c>
      <c r="O14" s="32">
        <f t="shared" si="1"/>
        <v>-1.8</v>
      </c>
      <c r="P14" s="19" t="s">
        <v>40</v>
      </c>
    </row>
    <row r="15" spans="1:16" x14ac:dyDescent="0.35">
      <c r="B15" s="17" t="s">
        <v>30</v>
      </c>
      <c r="D15" s="20" t="s">
        <v>12</v>
      </c>
      <c r="F15" s="23">
        <f>SUM(F11:F14)</f>
        <v>1186.3</v>
      </c>
      <c r="G15" s="23">
        <f t="shared" ref="G15:O15" si="2">SUM(G11:G14)</f>
        <v>934.8125</v>
      </c>
      <c r="H15" s="23">
        <f t="shared" si="2"/>
        <v>733.32500000000005</v>
      </c>
      <c r="I15" s="23">
        <f t="shared" si="2"/>
        <v>568.83750000000009</v>
      </c>
      <c r="J15" s="23">
        <f t="shared" si="2"/>
        <v>433.34999999999997</v>
      </c>
      <c r="K15" s="23">
        <f t="shared" si="2"/>
        <v>318.86250000000001</v>
      </c>
      <c r="L15" s="23">
        <f t="shared" si="2"/>
        <v>219.375</v>
      </c>
      <c r="M15" s="23">
        <f t="shared" si="2"/>
        <v>131.88749999999999</v>
      </c>
      <c r="N15" s="23">
        <f t="shared" si="2"/>
        <v>54.400000000000006</v>
      </c>
      <c r="O15" s="23">
        <f t="shared" si="2"/>
        <v>-17.087500000000002</v>
      </c>
      <c r="P15" s="19" t="s">
        <v>34</v>
      </c>
    </row>
    <row r="17" spans="4:6" x14ac:dyDescent="0.35">
      <c r="F17" s="21"/>
    </row>
    <row r="24" spans="4:6" ht="15" thickBot="1" x14ac:dyDescent="0.4"/>
    <row r="25" spans="4:6" x14ac:dyDescent="0.35">
      <c r="D25" s="38" t="s">
        <v>46</v>
      </c>
      <c r="E25" s="39" t="s">
        <v>47</v>
      </c>
      <c r="F25" s="40" t="s">
        <v>35</v>
      </c>
    </row>
    <row r="26" spans="4:6" x14ac:dyDescent="0.35">
      <c r="D26" s="42">
        <v>0</v>
      </c>
      <c r="E26" s="36" t="s">
        <v>48</v>
      </c>
      <c r="F26" s="46">
        <v>1000</v>
      </c>
    </row>
    <row r="27" spans="4:6" x14ac:dyDescent="0.35">
      <c r="D27" s="43">
        <v>140</v>
      </c>
      <c r="E27" s="37" t="s">
        <v>49</v>
      </c>
      <c r="F27" s="47">
        <v>1200</v>
      </c>
    </row>
    <row r="28" spans="4:6" x14ac:dyDescent="0.35">
      <c r="D28" s="42">
        <v>180</v>
      </c>
      <c r="E28" s="36" t="s">
        <v>50</v>
      </c>
      <c r="F28" s="46">
        <v>1400</v>
      </c>
    </row>
    <row r="29" spans="4:6" x14ac:dyDescent="0.35">
      <c r="D29" s="43">
        <v>220</v>
      </c>
      <c r="E29" s="37" t="s">
        <v>51</v>
      </c>
      <c r="F29" s="47">
        <v>1600</v>
      </c>
    </row>
    <row r="30" spans="4:6" x14ac:dyDescent="0.35">
      <c r="D30" s="42">
        <v>260</v>
      </c>
      <c r="E30" s="36" t="s">
        <v>52</v>
      </c>
      <c r="F30" s="46">
        <v>1800</v>
      </c>
    </row>
    <row r="31" spans="4:6" x14ac:dyDescent="0.35">
      <c r="D31" s="43">
        <v>300</v>
      </c>
      <c r="E31" s="37" t="s">
        <v>53</v>
      </c>
      <c r="F31" s="47">
        <v>2000</v>
      </c>
    </row>
    <row r="32" spans="4:6" x14ac:dyDescent="0.35">
      <c r="D32" s="42">
        <v>400</v>
      </c>
      <c r="E32" s="36" t="s">
        <v>54</v>
      </c>
      <c r="F32" s="46">
        <v>2200</v>
      </c>
    </row>
    <row r="33" spans="4:6" ht="15" thickBot="1" x14ac:dyDescent="0.4">
      <c r="D33" s="44">
        <v>500</v>
      </c>
      <c r="E33" s="41" t="s">
        <v>55</v>
      </c>
      <c r="F33" s="48">
        <v>2400</v>
      </c>
    </row>
  </sheetData>
  <mergeCells count="1">
    <mergeCell ref="F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Cover</vt:lpstr>
      <vt:lpstr>Inputs</vt:lpstr>
      <vt:lpstr>Calculations</vt:lpstr>
      <vt:lpstr>CoverComp</vt:lpstr>
      <vt:lpstr>CoverStartYear</vt:lpstr>
      <vt:lpstr>CstCouncilTax</vt:lpstr>
      <vt:lpstr>CstCouncilTaxBand</vt:lpstr>
      <vt:lpstr>CstCouncilTaxBase</vt:lpstr>
      <vt:lpstr>CstHousingPrice</vt:lpstr>
      <vt:lpstr>CstHousingRate</vt:lpstr>
      <vt:lpstr>CstLivingDaily</vt:lpstr>
      <vt:lpstr>CstLivingLoose</vt:lpstr>
      <vt:lpstr>ModelYear</vt:lpstr>
      <vt:lpstr>NetCstHousing</vt:lpstr>
      <vt:lpstr>NetCstLiving</vt:lpstr>
      <vt:lpstr>NetIncome</vt:lpstr>
      <vt:lpstr>NetRev</vt:lpstr>
      <vt:lpstr>RevDownloads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Khoo Zi Wei</cp:lastModifiedBy>
  <dcterms:created xsi:type="dcterms:W3CDTF">2010-10-18T13:56:07Z</dcterms:created>
  <dcterms:modified xsi:type="dcterms:W3CDTF">2025-12-17T09:59:34Z</dcterms:modified>
</cp:coreProperties>
</file>